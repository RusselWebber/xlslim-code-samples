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xlslim-code-samples\duckdb\"/>
    </mc:Choice>
  </mc:AlternateContent>
  <xr:revisionPtr revIDLastSave="0" documentId="13_ncr:1_{A06D79AC-57C7-45A8-A90D-89D553E11242}" xr6:coauthVersionLast="47" xr6:coauthVersionMax="47" xr10:uidLastSave="{00000000-0000-0000-0000-000000000000}"/>
  <bookViews>
    <workbookView xWindow="-103" yWindow="-103" windowWidth="33120" windowHeight="18000" xr2:uid="{FE12EF1E-6DE0-4837-94CC-D9B798B26B7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 a="1"/>
  <c r="A13" i="1" s="1"/>
  <c r="B8" i="1" a="1"/>
  <c r="B8" i="1" s="1"/>
  <c r="B3" i="1" a="1"/>
  <c r="B3" i="1" s="1"/>
  <c r="B4" i="1"/>
  <c r="B1" i="1" a="1"/>
  <c r="B1" i="1" s="1"/>
  <c r="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<sst xmlns="http://schemas.openxmlformats.org/spreadsheetml/2006/main" count="11" uniqueCount="11">
  <si>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Workbook location</t>
  </si>
  <si>
    <t>Python Module</t>
  </si>
  <si>
    <t>Register Python Module</t>
  </si>
  <si>
    <t>Create a cached Pandas dataframe</t>
  </si>
  <si>
    <t>Data file</t>
  </si>
  <si>
    <t>Query the cached object in DuckDB</t>
  </si>
  <si>
    <t>SELECT Region, Country, Sum("Total Profit") AS Profit FROM xlRange GROUP BY Region, Country ORDER BY Profit DESC</t>
  </si>
  <si>
    <t>This workbooks shows how DuckDbQuery() can run queries against cached Python dataframes.
The workbook uses functions defined in duck_object_query.py</t>
  </si>
  <si>
    <t>Object Handle</t>
  </si>
  <si>
    <t>The pandas dataframe is stored in an xlSlim cache and a handle to the cached object is returned</t>
  </si>
  <si>
    <t>The SQL query refers to xlRange, xlSlim knows how to extract data from object handles pointing to pandas dataframes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</si>
</sst>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1" fillId="4" borderId="0" applyNumberFormat="0" applyBorder="0" applyAlignment="0" applyProtection="0"/>
    <xf numFmtId="0" fontId="4" fillId="0" borderId="11" applyNumberFormat="0" applyFill="0" applyAlignment="0" applyProtection="0"/>
  </cellStyleXfs>
  <cellXfs count="21">
    <xf numFmtId="0" fontId="0" fillId="0" borderId="0" xfId="0"/>
    <xf numFmtId="0" fontId="2" fillId="2" borderId="1" xfId="1" applyAlignment="1">
      <alignment vertical="center"/>
    </xf>
    <xf numFmtId="0" fontId="2" fillId="2" borderId="1" xfId="1"/>
    <xf numFmtId="0" fontId="3" fillId="4" borderId="0" xfId="3" applyFont="1"/>
    <xf numFmtId="0" fontId="3" fillId="4" borderId="0" xfId="3" applyFont="1" applyBorder="1"/>
    <xf numFmtId="0" fontId="0" fillId="3" borderId="3" xfId="2" applyFont="1" applyBorder="1" applyAlignment="1">
      <alignment horizontal="left" vertical="top" wrapText="1"/>
    </xf>
    <xf numFmtId="0" fontId="0" fillId="3" borderId="4" xfId="2" applyFont="1" applyBorder="1" applyAlignment="1">
      <alignment horizontal="left" vertical="top" wrapText="1"/>
    </xf>
    <xf numFmtId="0" fontId="0" fillId="3" borderId="5" xfId="2" applyFont="1" applyBorder="1" applyAlignment="1">
      <alignment horizontal="left" vertical="top" wrapText="1"/>
    </xf>
    <xf numFmtId="0" fontId="0" fillId="3" borderId="6" xfId="2" applyFont="1" applyBorder="1" applyAlignment="1">
      <alignment horizontal="left" vertical="top" wrapText="1"/>
    </xf>
    <xf numFmtId="0" fontId="0" fillId="3" borderId="0" xfId="2" applyFont="1" applyBorder="1" applyAlignment="1">
      <alignment horizontal="left" vertical="top" wrapText="1"/>
    </xf>
    <xf numFmtId="0" fontId="0" fillId="3" borderId="7" xfId="2" applyFont="1" applyBorder="1" applyAlignment="1">
      <alignment horizontal="left" vertical="top" wrapText="1"/>
    </xf>
    <xf numFmtId="0" fontId="0" fillId="3" borderId="8" xfId="2" applyFont="1" applyBorder="1" applyAlignment="1">
      <alignment horizontal="left" vertical="top" wrapText="1"/>
    </xf>
    <xf numFmtId="0" fontId="0" fillId="3" borderId="9" xfId="2" applyFont="1" applyBorder="1" applyAlignment="1">
      <alignment horizontal="left" vertical="top" wrapText="1"/>
    </xf>
    <xf numFmtId="0" fontId="0" fillId="3" borderId="10" xfId="2" applyFont="1" applyBorder="1" applyAlignment="1">
      <alignment horizontal="left" vertical="top" wrapText="1"/>
    </xf>
    <xf numFmtId="0" fontId="4" fillId="0" borderId="11" xfId="4"/>
    <xf numFmtId="0" fontId="3" fillId="0" borderId="0" xfId="0" quotePrefix="1" applyFont="1"/>
    <xf numFmtId="0" fontId="0" fillId="3" borderId="3" xfId="2" applyFont="1" applyBorder="1" applyAlignment="1">
      <alignment horizontal="center" vertical="top" wrapText="1"/>
    </xf>
    <xf numFmtId="0" fontId="0" fillId="3" borderId="4" xfId="2" applyFont="1" applyBorder="1" applyAlignment="1">
      <alignment horizontal="center" vertical="top" wrapText="1"/>
    </xf>
    <xf numFmtId="0" fontId="0" fillId="3" borderId="6" xfId="2" applyFont="1" applyBorder="1" applyAlignment="1">
      <alignment horizontal="center" vertical="top" wrapText="1"/>
    </xf>
    <xf numFmtId="0" fontId="0" fillId="3" borderId="0" xfId="2" applyFont="1" applyBorder="1" applyAlignment="1">
      <alignment horizontal="center" vertical="top" wrapText="1"/>
    </xf>
    <xf numFmtId="165" fontId="2" fillId="2" borderId="1" xfId="1" applyNumberFormat="1"/>
  </cellXfs>
  <cellStyles count="5">
    <cellStyle name="20% - Accent4" xfId="3" builtinId="42"/>
    <cellStyle name="Calculation" xfId="1" builtinId="22"/>
    <cellStyle name="Heading 1" xfId="4" builtinId="16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8FB0-705B-467B-A37D-48C02719692C}">
  <dimension ref="A1:N198"/>
  <sheetViews>
    <sheetView tabSelected="1" workbookViewId="0">
      <selection activeCell="A7" sqref="A7"/>
    </sheetView>
  </sheetViews>
  <sheetFormatPr defaultColWidth="26.4609375" defaultRowHeight="14.6" x14ac:dyDescent="0.4"/>
  <cols>
    <col min="5" max="7" width="0" hidden="1" customWidth="1"/>
    <col min="8" max="9" width="26.4609375" hidden="1" customWidth="1"/>
    <col min="10" max="11" width="0" hidden="1" customWidth="1"/>
  </cols>
  <sheetData>
    <row r="1" spans="1:14" x14ac:dyDescent="0.4">
      <c r="A1" s="3" t="s">
        <v>0</v>
      </c>
      <c r="B1" s="2" t="str" cm="1">
        <f t="array" ref="B1">_xll.WorkbookLocation()</f>
        <v>D:\github\xlslim-code-samples\duckdb</v>
      </c>
      <c r="C1" s="1"/>
      <c r="E1" s="5" t="s">
        <v>7</v>
      </c>
      <c r="F1" s="6"/>
      <c r="G1" s="6"/>
      <c r="H1" s="6"/>
      <c r="I1" s="6"/>
      <c r="J1" s="6"/>
      <c r="K1" s="6"/>
      <c r="L1" s="6"/>
      <c r="M1" s="6"/>
      <c r="N1" s="7"/>
    </row>
    <row r="2" spans="1:14" x14ac:dyDescent="0.4">
      <c r="A2" s="3" t="s">
        <v>1</v>
      </c>
      <c r="B2" s="1" t="str">
        <f>B1&amp;"\duckdb_object_query.py"</f>
        <v>D:\github\xlslim-code-samples\duckdb\duckdb_object_query.py</v>
      </c>
      <c r="C2" s="1"/>
      <c r="E2" s="8"/>
      <c r="F2" s="9"/>
      <c r="G2" s="9"/>
      <c r="H2" s="9"/>
      <c r="I2" s="9"/>
      <c r="J2" s="9"/>
      <c r="K2" s="9"/>
      <c r="L2" s="9"/>
      <c r="M2" s="9"/>
      <c r="N2" s="10"/>
    </row>
    <row r="3" spans="1:14" x14ac:dyDescent="0.4">
      <c r="A3" s="3" t="s">
        <v>2</v>
      </c>
      <c r="B3" s="2" t="str" cm="1">
        <f t="array" ref="B3">_xll.RegisterPyModule(B2)</f>
        <v>Registered D:\github\xlslim-code-samples\duckdb\duckdb_object_query.py</v>
      </c>
      <c r="C3" s="2"/>
      <c r="E3" s="8"/>
      <c r="F3" s="9"/>
      <c r="G3" s="9"/>
      <c r="H3" s="9"/>
      <c r="I3" s="9"/>
      <c r="J3" s="9"/>
      <c r="K3" s="9"/>
      <c r="L3" s="9"/>
      <c r="M3" s="9"/>
      <c r="N3" s="10"/>
    </row>
    <row r="4" spans="1:14" x14ac:dyDescent="0.4">
      <c r="A4" s="3" t="s">
        <v>4</v>
      </c>
      <c r="B4" s="2" t="str">
        <f>B1&amp;"\..\data\10000SalesRecords.csv"</f>
        <v>D:\github\xlslim-code-samples\duckdb\..\data\10000SalesRecords.csv</v>
      </c>
      <c r="C4" s="2"/>
      <c r="E4" s="8"/>
      <c r="F4" s="9"/>
      <c r="G4" s="9"/>
      <c r="H4" s="9"/>
      <c r="I4" s="9"/>
      <c r="J4" s="9"/>
      <c r="K4" s="9"/>
      <c r="L4" s="9"/>
      <c r="M4" s="9"/>
      <c r="N4" s="10"/>
    </row>
    <row r="5" spans="1:14" x14ac:dyDescent="0.4">
      <c r="E5" s="11"/>
      <c r="F5" s="12"/>
      <c r="G5" s="12"/>
      <c r="H5" s="12"/>
      <c r="I5" s="12"/>
      <c r="J5" s="12"/>
      <c r="K5" s="12"/>
      <c r="L5" s="12"/>
      <c r="M5" s="12"/>
      <c r="N5" s="13"/>
    </row>
    <row r="6" spans="1:14" ht="20.149999999999999" thickBot="1" x14ac:dyDescent="0.6">
      <c r="A6" s="14" t="s">
        <v>3</v>
      </c>
      <c r="B6" s="14"/>
    </row>
    <row r="7" spans="1:14" ht="15" thickTop="1" x14ac:dyDescent="0.4"/>
    <row r="8" spans="1:14" x14ac:dyDescent="0.4">
      <c r="A8" s="4" t="s">
        <v>8</v>
      </c>
      <c r="B8" s="2" t="str" cm="1">
        <f t="array" ref="B8">_xll.read_csv(B4)</f>
        <v>[duckdb_object_query.xlsx]Sheet1$B$8/9C021C29@1</v>
      </c>
      <c r="L8" s="5" t="s">
        <v>9</v>
      </c>
      <c r="M8" s="6"/>
      <c r="N8" s="6"/>
    </row>
    <row r="10" spans="1:14" ht="20.149999999999999" thickBot="1" x14ac:dyDescent="0.6">
      <c r="A10" s="14" t="s">
        <v>5</v>
      </c>
      <c r="B10" s="14"/>
    </row>
    <row r="11" spans="1:14" ht="15" thickTop="1" x14ac:dyDescent="0.4"/>
    <row r="12" spans="1:14" ht="14.6" customHeight="1" x14ac:dyDescent="0.4">
      <c r="A12" s="15" t="s">
        <v>6</v>
      </c>
      <c r="L12" s="16" t="s">
        <v>10</v>
      </c>
      <c r="M12" s="17"/>
      <c r="N12" s="17"/>
    </row>
    <row r="13" spans="1:14" x14ac:dyDescent="0.4">
      <c r="A13" s="2" t="str" cm="1">
        <f t="array" aca="1" ref="A13:C198" ca="1">_xll.DuckDbQuery(A12,,B8)</f>
        <v>Region</v>
      </c>
      <c r="B13" s="2" t="str">
        <f ca="1"/>
        <v>Country</v>
      </c>
      <c r="C13" s="2" t="str">
        <f ca="1"/>
        <v>Profit</v>
      </c>
      <c r="L13" s="18"/>
      <c r="M13" s="19"/>
      <c r="N13" s="19"/>
    </row>
    <row r="14" spans="1:14" x14ac:dyDescent="0.4">
      <c r="A14" s="2" t="str">
        <f ca="1"/>
        <v>Australia and Oceania</v>
      </c>
      <c r="B14" s="2" t="str">
        <f ca="1"/>
        <v>Kiribati</v>
      </c>
      <c r="C14" s="20">
        <f ca="1"/>
        <v>32454798.259999994</v>
      </c>
      <c r="L14" s="18"/>
      <c r="M14" s="19"/>
      <c r="N14" s="19"/>
    </row>
    <row r="15" spans="1:14" x14ac:dyDescent="0.4">
      <c r="A15" s="2" t="str">
        <f ca="1"/>
        <v>Middle East and North Africa</v>
      </c>
      <c r="B15" s="2" t="str">
        <f ca="1"/>
        <v>Qatar</v>
      </c>
      <c r="C15" s="20">
        <f ca="1"/>
        <v>30861356.789999995</v>
      </c>
    </row>
    <row r="16" spans="1:14" x14ac:dyDescent="0.4">
      <c r="A16" s="2" t="str">
        <f ca="1"/>
        <v>Central America and the Caribbean</v>
      </c>
      <c r="B16" s="2" t="str">
        <f ca="1"/>
        <v>Grenada</v>
      </c>
      <c r="C16" s="20">
        <f ca="1"/>
        <v>30302769.900000006</v>
      </c>
    </row>
    <row r="17" spans="1:3" x14ac:dyDescent="0.4">
      <c r="A17" s="2" t="str">
        <f ca="1"/>
        <v>Asia</v>
      </c>
      <c r="B17" s="2" t="str">
        <f ca="1"/>
        <v>Taiwan</v>
      </c>
      <c r="C17" s="20">
        <f ca="1"/>
        <v>30044779.979999997</v>
      </c>
    </row>
    <row r="18" spans="1:3" x14ac:dyDescent="0.4">
      <c r="A18" s="2" t="str">
        <f ca="1"/>
        <v>Sub-Saharan Africa</v>
      </c>
      <c r="B18" s="2" t="str">
        <f ca="1"/>
        <v>Malawi</v>
      </c>
      <c r="C18" s="20">
        <f ca="1"/>
        <v>29329125.049999997</v>
      </c>
    </row>
    <row r="19" spans="1:3" x14ac:dyDescent="0.4">
      <c r="A19" s="2" t="str">
        <f ca="1"/>
        <v>Sub-Saharan Africa</v>
      </c>
      <c r="B19" s="2" t="str">
        <f ca="1"/>
        <v>Botswana</v>
      </c>
      <c r="C19" s="20">
        <f ca="1"/>
        <v>29019726.669999998</v>
      </c>
    </row>
    <row r="20" spans="1:3" x14ac:dyDescent="0.4">
      <c r="A20" s="2" t="str">
        <f ca="1"/>
        <v>Asia</v>
      </c>
      <c r="B20" s="2" t="str">
        <f ca="1"/>
        <v>Bangladesh</v>
      </c>
      <c r="C20" s="20">
        <f ca="1"/>
        <v>28092720.770000011</v>
      </c>
    </row>
    <row r="21" spans="1:3" x14ac:dyDescent="0.4">
      <c r="A21" s="2" t="str">
        <f ca="1"/>
        <v>Europe</v>
      </c>
      <c r="B21" s="2" t="str">
        <f ca="1"/>
        <v>Lithuania</v>
      </c>
      <c r="C21" s="20">
        <f ca="1"/>
        <v>28063374.020000011</v>
      </c>
    </row>
    <row r="22" spans="1:3" x14ac:dyDescent="0.4">
      <c r="A22" s="2" t="str">
        <f ca="1"/>
        <v>Sub-Saharan Africa</v>
      </c>
      <c r="B22" s="2" t="str">
        <f ca="1"/>
        <v>Burundi</v>
      </c>
      <c r="C22" s="20">
        <f ca="1"/>
        <v>27911293.449999999</v>
      </c>
    </row>
    <row r="23" spans="1:3" x14ac:dyDescent="0.4">
      <c r="A23" s="2" t="str">
        <f ca="1"/>
        <v>Europe</v>
      </c>
      <c r="B23" s="2" t="str">
        <f ca="1"/>
        <v>Ireland</v>
      </c>
      <c r="C23" s="20">
        <f ca="1"/>
        <v>27807805.049999993</v>
      </c>
    </row>
    <row r="24" spans="1:3" x14ac:dyDescent="0.4">
      <c r="A24" s="2" t="str">
        <f ca="1"/>
        <v>Sub-Saharan Africa</v>
      </c>
      <c r="B24" s="2" t="str">
        <f ca="1"/>
        <v>Rwanda</v>
      </c>
      <c r="C24" s="20">
        <f ca="1"/>
        <v>27726111.499999993</v>
      </c>
    </row>
    <row r="25" spans="1:3" x14ac:dyDescent="0.4">
      <c r="A25" s="2" t="str">
        <f ca="1"/>
        <v>Middle East and North Africa</v>
      </c>
      <c r="B25" s="2" t="str">
        <f ca="1"/>
        <v>Bahrain</v>
      </c>
      <c r="C25" s="20">
        <f ca="1"/>
        <v>27517228.200000003</v>
      </c>
    </row>
    <row r="26" spans="1:3" x14ac:dyDescent="0.4">
      <c r="A26" s="2" t="str">
        <f ca="1"/>
        <v>Sub-Saharan Africa</v>
      </c>
      <c r="B26" s="2" t="str">
        <f ca="1"/>
        <v>Ethiopia</v>
      </c>
      <c r="C26" s="20">
        <f ca="1"/>
        <v>26936729.400000002</v>
      </c>
    </row>
    <row r="27" spans="1:3" x14ac:dyDescent="0.4">
      <c r="A27" s="2" t="str">
        <f ca="1"/>
        <v>North America</v>
      </c>
      <c r="B27" s="2" t="str">
        <f ca="1"/>
        <v>Canada</v>
      </c>
      <c r="C27" s="20">
        <f ca="1"/>
        <v>26880954.799999997</v>
      </c>
    </row>
    <row r="28" spans="1:3" x14ac:dyDescent="0.4">
      <c r="A28" s="2" t="str">
        <f ca="1"/>
        <v>Middle East and North Africa</v>
      </c>
      <c r="B28" s="2" t="str">
        <f ca="1"/>
        <v>Morocco</v>
      </c>
      <c r="C28" s="20">
        <f ca="1"/>
        <v>26827648.120000008</v>
      </c>
    </row>
    <row r="29" spans="1:3" x14ac:dyDescent="0.4">
      <c r="A29" s="2" t="str">
        <f ca="1"/>
        <v>Europe</v>
      </c>
      <c r="B29" s="2" t="str">
        <f ca="1"/>
        <v>Austria</v>
      </c>
      <c r="C29" s="20">
        <f ca="1"/>
        <v>26799045.640000004</v>
      </c>
    </row>
    <row r="30" spans="1:3" x14ac:dyDescent="0.4">
      <c r="A30" s="2" t="str">
        <f ca="1"/>
        <v>Central America and the Caribbean</v>
      </c>
      <c r="B30" s="2" t="str">
        <f ca="1"/>
        <v>El Salvador</v>
      </c>
      <c r="C30" s="20">
        <f ca="1"/>
        <v>26661333.329999991</v>
      </c>
    </row>
    <row r="31" spans="1:3" x14ac:dyDescent="0.4">
      <c r="A31" s="2" t="str">
        <f ca="1"/>
        <v>Europe</v>
      </c>
      <c r="B31" s="2" t="str">
        <f ca="1"/>
        <v>Iceland</v>
      </c>
      <c r="C31" s="20">
        <f ca="1"/>
        <v>26554631.850000005</v>
      </c>
    </row>
    <row r="32" spans="1:3" x14ac:dyDescent="0.4">
      <c r="A32" s="2" t="str">
        <f ca="1"/>
        <v>North America</v>
      </c>
      <c r="B32" s="2" t="str">
        <f ca="1"/>
        <v>United States of America</v>
      </c>
      <c r="C32" s="20">
        <f ca="1"/>
        <v>26534771.440000009</v>
      </c>
    </row>
    <row r="33" spans="1:3" x14ac:dyDescent="0.4">
      <c r="A33" s="2" t="str">
        <f ca="1"/>
        <v>Middle East and North Africa</v>
      </c>
      <c r="B33" s="2" t="str">
        <f ca="1"/>
        <v xml:space="preserve">Tunisia </v>
      </c>
      <c r="C33" s="20">
        <f ca="1"/>
        <v>26189597.159999993</v>
      </c>
    </row>
    <row r="34" spans="1:3" x14ac:dyDescent="0.4">
      <c r="A34" s="2" t="str">
        <f ca="1"/>
        <v>Europe</v>
      </c>
      <c r="B34" s="2" t="str">
        <f ca="1"/>
        <v>Croatia</v>
      </c>
      <c r="C34" s="20">
        <f ca="1"/>
        <v>26096999.839999996</v>
      </c>
    </row>
    <row r="35" spans="1:3" x14ac:dyDescent="0.4">
      <c r="A35" s="2" t="str">
        <f ca="1"/>
        <v>Sub-Saharan Africa</v>
      </c>
      <c r="B35" s="2" t="str">
        <f ca="1"/>
        <v>Uganda</v>
      </c>
      <c r="C35" s="20">
        <f ca="1"/>
        <v>25940655.310000006</v>
      </c>
    </row>
    <row r="36" spans="1:3" x14ac:dyDescent="0.4">
      <c r="A36" s="2" t="str">
        <f ca="1"/>
        <v>Australia and Oceania</v>
      </c>
      <c r="B36" s="2" t="str">
        <f ca="1"/>
        <v>New Zealand</v>
      </c>
      <c r="C36" s="20">
        <f ca="1"/>
        <v>25895477.040000003</v>
      </c>
    </row>
    <row r="37" spans="1:3" x14ac:dyDescent="0.4">
      <c r="A37" s="2" t="str">
        <f ca="1"/>
        <v>Middle East and North Africa</v>
      </c>
      <c r="B37" s="2" t="str">
        <f ca="1"/>
        <v>Azerbaijan</v>
      </c>
      <c r="C37" s="20">
        <f ca="1"/>
        <v>25826708.000000004</v>
      </c>
    </row>
    <row r="38" spans="1:3" x14ac:dyDescent="0.4">
      <c r="A38" s="2" t="str">
        <f ca="1"/>
        <v>Europe</v>
      </c>
      <c r="B38" s="2" t="str">
        <f ca="1"/>
        <v xml:space="preserve">Moldova </v>
      </c>
      <c r="C38" s="20">
        <f ca="1"/>
        <v>25700896.770000003</v>
      </c>
    </row>
    <row r="39" spans="1:3" x14ac:dyDescent="0.4">
      <c r="A39" s="2" t="str">
        <f ca="1"/>
        <v>Europe</v>
      </c>
      <c r="B39" s="2" t="str">
        <f ca="1"/>
        <v>United Kingdom</v>
      </c>
      <c r="C39" s="20">
        <f ca="1"/>
        <v>25528037.969999991</v>
      </c>
    </row>
    <row r="40" spans="1:3" x14ac:dyDescent="0.4">
      <c r="A40" s="2" t="str">
        <f ca="1"/>
        <v>Europe</v>
      </c>
      <c r="B40" s="2" t="str">
        <f ca="1"/>
        <v>Portugal</v>
      </c>
      <c r="C40" s="20">
        <f ca="1"/>
        <v>25449810.790000003</v>
      </c>
    </row>
    <row r="41" spans="1:3" x14ac:dyDescent="0.4">
      <c r="A41" s="2" t="str">
        <f ca="1"/>
        <v>Europe</v>
      </c>
      <c r="B41" s="2" t="str">
        <f ca="1"/>
        <v>Greece</v>
      </c>
      <c r="C41" s="20">
        <f ca="1"/>
        <v>25308983.419999991</v>
      </c>
    </row>
    <row r="42" spans="1:3" x14ac:dyDescent="0.4">
      <c r="A42" s="2" t="str">
        <f ca="1"/>
        <v>Europe</v>
      </c>
      <c r="B42" s="2" t="str">
        <f ca="1"/>
        <v>Germany</v>
      </c>
      <c r="C42" s="20">
        <f ca="1"/>
        <v>25249874.359999996</v>
      </c>
    </row>
    <row r="43" spans="1:3" x14ac:dyDescent="0.4">
      <c r="A43" s="2" t="str">
        <f ca="1"/>
        <v>Asia</v>
      </c>
      <c r="B43" s="2" t="str">
        <f ca="1"/>
        <v>Mongolia</v>
      </c>
      <c r="C43" s="20">
        <f ca="1"/>
        <v>25107838.949999992</v>
      </c>
    </row>
    <row r="44" spans="1:3" x14ac:dyDescent="0.4">
      <c r="A44" s="2" t="str">
        <f ca="1"/>
        <v>Sub-Saharan Africa</v>
      </c>
      <c r="B44" s="2" t="str">
        <f ca="1"/>
        <v>Swaziland</v>
      </c>
      <c r="C44" s="20">
        <f ca="1"/>
        <v>25107661.700000007</v>
      </c>
    </row>
    <row r="45" spans="1:3" x14ac:dyDescent="0.4">
      <c r="A45" s="2" t="str">
        <f ca="1"/>
        <v>Asia</v>
      </c>
      <c r="B45" s="2" t="str">
        <f ca="1"/>
        <v>Uzbekistan</v>
      </c>
      <c r="C45" s="20">
        <f ca="1"/>
        <v>24896258.16</v>
      </c>
    </row>
    <row r="46" spans="1:3" x14ac:dyDescent="0.4">
      <c r="A46" s="2" t="str">
        <f ca="1"/>
        <v>Europe</v>
      </c>
      <c r="B46" s="2" t="str">
        <f ca="1"/>
        <v>Russia</v>
      </c>
      <c r="C46" s="20">
        <f ca="1"/>
        <v>24860366.230000004</v>
      </c>
    </row>
    <row r="47" spans="1:3" x14ac:dyDescent="0.4">
      <c r="A47" s="2" t="str">
        <f ca="1"/>
        <v>Middle East and North Africa</v>
      </c>
      <c r="B47" s="2" t="str">
        <f ca="1"/>
        <v>Kuwait</v>
      </c>
      <c r="C47" s="20">
        <f ca="1"/>
        <v>24806422.690000001</v>
      </c>
    </row>
    <row r="48" spans="1:3" x14ac:dyDescent="0.4">
      <c r="A48" s="2" t="str">
        <f ca="1"/>
        <v>Sub-Saharan Africa</v>
      </c>
      <c r="B48" s="2" t="str">
        <f ca="1"/>
        <v>Senegal</v>
      </c>
      <c r="C48" s="20">
        <f ca="1"/>
        <v>24776094.02</v>
      </c>
    </row>
    <row r="49" spans="1:3" x14ac:dyDescent="0.4">
      <c r="A49" s="2" t="str">
        <f ca="1"/>
        <v>Asia</v>
      </c>
      <c r="B49" s="2" t="str">
        <f ca="1"/>
        <v>China</v>
      </c>
      <c r="C49" s="20">
        <f ca="1"/>
        <v>24708015.720000006</v>
      </c>
    </row>
    <row r="50" spans="1:3" x14ac:dyDescent="0.4">
      <c r="A50" s="2" t="str">
        <f ca="1"/>
        <v>Middle East and North Africa</v>
      </c>
      <c r="B50" s="2" t="str">
        <f ca="1"/>
        <v>United Arab Emirates</v>
      </c>
      <c r="C50" s="20">
        <f ca="1"/>
        <v>24667842.06000001</v>
      </c>
    </row>
    <row r="51" spans="1:3" x14ac:dyDescent="0.4">
      <c r="A51" s="2" t="str">
        <f ca="1"/>
        <v>Asia</v>
      </c>
      <c r="B51" s="2" t="str">
        <f ca="1"/>
        <v>Philippines</v>
      </c>
      <c r="C51" s="20">
        <f ca="1"/>
        <v>24616126.669999998</v>
      </c>
    </row>
    <row r="52" spans="1:3" x14ac:dyDescent="0.4">
      <c r="A52" s="2" t="str">
        <f ca="1"/>
        <v>North America</v>
      </c>
      <c r="B52" s="2" t="str">
        <f ca="1"/>
        <v>Mexico</v>
      </c>
      <c r="C52" s="20">
        <f ca="1"/>
        <v>24491787.399999995</v>
      </c>
    </row>
    <row r="53" spans="1:3" x14ac:dyDescent="0.4">
      <c r="A53" s="2" t="str">
        <f ca="1"/>
        <v>Asia</v>
      </c>
      <c r="B53" s="2" t="str">
        <f ca="1"/>
        <v>India</v>
      </c>
      <c r="C53" s="20">
        <f ca="1"/>
        <v>24289892.460000008</v>
      </c>
    </row>
    <row r="54" spans="1:3" x14ac:dyDescent="0.4">
      <c r="A54" s="2" t="str">
        <f ca="1"/>
        <v>Middle East and North Africa</v>
      </c>
      <c r="B54" s="2" t="str">
        <f ca="1"/>
        <v>Egypt</v>
      </c>
      <c r="C54" s="20">
        <f ca="1"/>
        <v>24253082.98</v>
      </c>
    </row>
    <row r="55" spans="1:3" x14ac:dyDescent="0.4">
      <c r="A55" s="2" t="str">
        <f ca="1"/>
        <v>Australia and Oceania</v>
      </c>
      <c r="B55" s="2" t="str">
        <f ca="1"/>
        <v>Federated States of Micronesia</v>
      </c>
      <c r="C55" s="20">
        <f ca="1"/>
        <v>24231292.530000005</v>
      </c>
    </row>
    <row r="56" spans="1:3" x14ac:dyDescent="0.4">
      <c r="A56" s="2" t="str">
        <f ca="1"/>
        <v>Middle East and North Africa</v>
      </c>
      <c r="B56" s="2" t="str">
        <f ca="1"/>
        <v>Iran</v>
      </c>
      <c r="C56" s="20">
        <f ca="1"/>
        <v>24141593.920000002</v>
      </c>
    </row>
    <row r="57" spans="1:3" x14ac:dyDescent="0.4">
      <c r="A57" s="2" t="str">
        <f ca="1"/>
        <v>Sub-Saharan Africa</v>
      </c>
      <c r="B57" s="2" t="str">
        <f ca="1"/>
        <v>Nigeria</v>
      </c>
      <c r="C57" s="20">
        <f ca="1"/>
        <v>24139351.980000012</v>
      </c>
    </row>
    <row r="58" spans="1:3" x14ac:dyDescent="0.4">
      <c r="A58" s="2" t="str">
        <f ca="1"/>
        <v>Europe</v>
      </c>
      <c r="B58" s="2" t="str">
        <f ca="1"/>
        <v>Bosnia and Herzegovina</v>
      </c>
      <c r="C58" s="20">
        <f ca="1"/>
        <v>24070486.580000006</v>
      </c>
    </row>
    <row r="59" spans="1:3" x14ac:dyDescent="0.4">
      <c r="A59" s="2" t="str">
        <f ca="1"/>
        <v>Central America and the Caribbean</v>
      </c>
      <c r="B59" s="2" t="str">
        <f ca="1"/>
        <v>Honduras</v>
      </c>
      <c r="C59" s="20">
        <f ca="1"/>
        <v>23919286.870000005</v>
      </c>
    </row>
    <row r="60" spans="1:3" x14ac:dyDescent="0.4">
      <c r="A60" s="2" t="str">
        <f ca="1"/>
        <v>Australia and Oceania</v>
      </c>
      <c r="B60" s="2" t="str">
        <f ca="1"/>
        <v>Palau</v>
      </c>
      <c r="C60" s="20">
        <f ca="1"/>
        <v>23894809.949999999</v>
      </c>
    </row>
    <row r="61" spans="1:3" x14ac:dyDescent="0.4">
      <c r="A61" s="2" t="str">
        <f ca="1"/>
        <v>Asia</v>
      </c>
      <c r="B61" s="2" t="str">
        <f ca="1"/>
        <v>South Korea</v>
      </c>
      <c r="C61" s="20">
        <f ca="1"/>
        <v>23893933.75</v>
      </c>
    </row>
    <row r="62" spans="1:3" x14ac:dyDescent="0.4">
      <c r="A62" s="2" t="str">
        <f ca="1"/>
        <v>Asia</v>
      </c>
      <c r="B62" s="2" t="str">
        <f ca="1"/>
        <v>Bhutan</v>
      </c>
      <c r="C62" s="20">
        <f ca="1"/>
        <v>23833769.239999998</v>
      </c>
    </row>
    <row r="63" spans="1:3" x14ac:dyDescent="0.4">
      <c r="A63" s="2" t="str">
        <f ca="1"/>
        <v>Asia</v>
      </c>
      <c r="B63" s="2" t="str">
        <f ca="1"/>
        <v>Cambodia</v>
      </c>
      <c r="C63" s="20">
        <f ca="1"/>
        <v>23744162.889999997</v>
      </c>
    </row>
    <row r="64" spans="1:3" x14ac:dyDescent="0.4">
      <c r="A64" s="2" t="str">
        <f ca="1"/>
        <v>Australia and Oceania</v>
      </c>
      <c r="B64" s="2" t="str">
        <f ca="1"/>
        <v>Fiji</v>
      </c>
      <c r="C64" s="20">
        <f ca="1"/>
        <v>23738722.650000002</v>
      </c>
    </row>
    <row r="65" spans="1:3" x14ac:dyDescent="0.4">
      <c r="A65" s="2" t="str">
        <f ca="1"/>
        <v>Sub-Saharan Africa</v>
      </c>
      <c r="B65" s="2" t="str">
        <f ca="1"/>
        <v xml:space="preserve">Seychelles </v>
      </c>
      <c r="C65" s="20">
        <f ca="1"/>
        <v>23695801.11999999</v>
      </c>
    </row>
    <row r="66" spans="1:3" x14ac:dyDescent="0.4">
      <c r="A66" s="2" t="str">
        <f ca="1"/>
        <v>Sub-Saharan Africa</v>
      </c>
      <c r="B66" s="2" t="str">
        <f ca="1"/>
        <v>Zambia</v>
      </c>
      <c r="C66" s="20">
        <f ca="1"/>
        <v>23637453.000000004</v>
      </c>
    </row>
    <row r="67" spans="1:3" x14ac:dyDescent="0.4">
      <c r="A67" s="2" t="str">
        <f ca="1"/>
        <v>Asia</v>
      </c>
      <c r="B67" s="2" t="str">
        <f ca="1"/>
        <v>Vietnam</v>
      </c>
      <c r="C67" s="20">
        <f ca="1"/>
        <v>23415377.019999996</v>
      </c>
    </row>
    <row r="68" spans="1:3" x14ac:dyDescent="0.4">
      <c r="A68" s="2" t="str">
        <f ca="1"/>
        <v>Sub-Saharan Africa</v>
      </c>
      <c r="B68" s="2" t="str">
        <f ca="1"/>
        <v>Burkina Faso</v>
      </c>
      <c r="C68" s="20">
        <f ca="1"/>
        <v>23363130.599999994</v>
      </c>
    </row>
    <row r="69" spans="1:3" x14ac:dyDescent="0.4">
      <c r="A69" s="2" t="str">
        <f ca="1"/>
        <v>Europe</v>
      </c>
      <c r="B69" s="2" t="str">
        <f ca="1"/>
        <v>Netherlands</v>
      </c>
      <c r="C69" s="20">
        <f ca="1"/>
        <v>23340250.869999994</v>
      </c>
    </row>
    <row r="70" spans="1:3" x14ac:dyDescent="0.4">
      <c r="A70" s="2" t="str">
        <f ca="1"/>
        <v>Europe</v>
      </c>
      <c r="B70" s="2" t="str">
        <f ca="1"/>
        <v>Serbia</v>
      </c>
      <c r="C70" s="20">
        <f ca="1"/>
        <v>23310104.509999998</v>
      </c>
    </row>
    <row r="71" spans="1:3" x14ac:dyDescent="0.4">
      <c r="A71" s="2" t="str">
        <f ca="1"/>
        <v>Europe</v>
      </c>
      <c r="B71" s="2" t="str">
        <f ca="1"/>
        <v>Liechtenstein</v>
      </c>
      <c r="C71" s="20">
        <f ca="1"/>
        <v>23301377.830000006</v>
      </c>
    </row>
    <row r="72" spans="1:3" x14ac:dyDescent="0.4">
      <c r="A72" s="2" t="str">
        <f ca="1"/>
        <v>Middle East and North Africa</v>
      </c>
      <c r="B72" s="2" t="str">
        <f ca="1"/>
        <v>Somalia</v>
      </c>
      <c r="C72" s="20">
        <f ca="1"/>
        <v>23285546.099999994</v>
      </c>
    </row>
    <row r="73" spans="1:3" x14ac:dyDescent="0.4">
      <c r="A73" s="2" t="str">
        <f ca="1"/>
        <v>Australia and Oceania</v>
      </c>
      <c r="B73" s="2" t="str">
        <f ca="1"/>
        <v>Tuvalu</v>
      </c>
      <c r="C73" s="20">
        <f ca="1"/>
        <v>23279592.000000004</v>
      </c>
    </row>
    <row r="74" spans="1:3" x14ac:dyDescent="0.4">
      <c r="A74" s="2" t="str">
        <f ca="1"/>
        <v>Asia</v>
      </c>
      <c r="B74" s="2" t="str">
        <f ca="1"/>
        <v>Kazakhstan</v>
      </c>
      <c r="C74" s="20">
        <f ca="1"/>
        <v>23265602.75</v>
      </c>
    </row>
    <row r="75" spans="1:3" x14ac:dyDescent="0.4">
      <c r="A75" s="2" t="str">
        <f ca="1"/>
        <v>Europe</v>
      </c>
      <c r="B75" s="2" t="str">
        <f ca="1"/>
        <v>Denmark</v>
      </c>
      <c r="C75" s="20">
        <f ca="1"/>
        <v>23120649.289999995</v>
      </c>
    </row>
    <row r="76" spans="1:3" x14ac:dyDescent="0.4">
      <c r="A76" s="2" t="str">
        <f ca="1"/>
        <v>Europe</v>
      </c>
      <c r="B76" s="2" t="str">
        <f ca="1"/>
        <v>Finland</v>
      </c>
      <c r="C76" s="20">
        <f ca="1"/>
        <v>23066495.199999999</v>
      </c>
    </row>
    <row r="77" spans="1:3" x14ac:dyDescent="0.4">
      <c r="A77" s="2" t="str">
        <f ca="1"/>
        <v>Central America and the Caribbean</v>
      </c>
      <c r="B77" s="2" t="str">
        <f ca="1"/>
        <v xml:space="preserve">Saint Kitts and Nevis </v>
      </c>
      <c r="C77" s="20">
        <f ca="1"/>
        <v>23055279.040000003</v>
      </c>
    </row>
    <row r="78" spans="1:3" x14ac:dyDescent="0.4">
      <c r="A78" s="2" t="str">
        <f ca="1"/>
        <v>Sub-Saharan Africa</v>
      </c>
      <c r="B78" s="2" t="str">
        <f ca="1"/>
        <v>Guinea-Bissau</v>
      </c>
      <c r="C78" s="20">
        <f ca="1"/>
        <v>23049675.02</v>
      </c>
    </row>
    <row r="79" spans="1:3" x14ac:dyDescent="0.4">
      <c r="A79" s="2" t="str">
        <f ca="1"/>
        <v>Asia</v>
      </c>
      <c r="B79" s="2" t="str">
        <f ca="1"/>
        <v>Turkmenistan</v>
      </c>
      <c r="C79" s="20">
        <f ca="1"/>
        <v>22995182.159999996</v>
      </c>
    </row>
    <row r="80" spans="1:3" x14ac:dyDescent="0.4">
      <c r="A80" s="2" t="str">
        <f ca="1"/>
        <v>Middle East and North Africa</v>
      </c>
      <c r="B80" s="2" t="str">
        <f ca="1"/>
        <v>Afghanistan</v>
      </c>
      <c r="C80" s="20">
        <f ca="1"/>
        <v>22977020.059999995</v>
      </c>
    </row>
    <row r="81" spans="1:3" x14ac:dyDescent="0.4">
      <c r="A81" s="2" t="str">
        <f ca="1"/>
        <v>Sub-Saharan Africa</v>
      </c>
      <c r="B81" s="2" t="str">
        <f ca="1"/>
        <v>Sudan</v>
      </c>
      <c r="C81" s="20">
        <f ca="1"/>
        <v>22945568.530000005</v>
      </c>
    </row>
    <row r="82" spans="1:3" x14ac:dyDescent="0.4">
      <c r="A82" s="2" t="str">
        <f ca="1"/>
        <v>Sub-Saharan Africa</v>
      </c>
      <c r="B82" s="2" t="str">
        <f ca="1"/>
        <v>Chad</v>
      </c>
      <c r="C82" s="20">
        <f ca="1"/>
        <v>22863353.100000001</v>
      </c>
    </row>
    <row r="83" spans="1:3" x14ac:dyDescent="0.4">
      <c r="A83" s="2" t="str">
        <f ca="1"/>
        <v>Europe</v>
      </c>
      <c r="B83" s="2" t="str">
        <f ca="1"/>
        <v>Poland</v>
      </c>
      <c r="C83" s="20">
        <f ca="1"/>
        <v>22846126.090000004</v>
      </c>
    </row>
    <row r="84" spans="1:3" x14ac:dyDescent="0.4">
      <c r="A84" s="2" t="str">
        <f ca="1"/>
        <v>Asia</v>
      </c>
      <c r="B84" s="2" t="str">
        <f ca="1"/>
        <v>Kyrgyzstan</v>
      </c>
      <c r="C84" s="20">
        <f ca="1"/>
        <v>22736962.390000001</v>
      </c>
    </row>
    <row r="85" spans="1:3" x14ac:dyDescent="0.4">
      <c r="A85" s="2" t="str">
        <f ca="1"/>
        <v>Europe</v>
      </c>
      <c r="B85" s="2" t="str">
        <f ca="1"/>
        <v>Switzerland</v>
      </c>
      <c r="C85" s="20">
        <f ca="1"/>
        <v>22497403.850000001</v>
      </c>
    </row>
    <row r="86" spans="1:3" x14ac:dyDescent="0.4">
      <c r="A86" s="2" t="str">
        <f ca="1"/>
        <v>Central America and the Caribbean</v>
      </c>
      <c r="B86" s="2" t="str">
        <f ca="1"/>
        <v>Guatemala</v>
      </c>
      <c r="C86" s="20">
        <f ca="1"/>
        <v>22478915.509999998</v>
      </c>
    </row>
    <row r="87" spans="1:3" x14ac:dyDescent="0.4">
      <c r="A87" s="2" t="str">
        <f ca="1"/>
        <v>Australia and Oceania</v>
      </c>
      <c r="B87" s="2" t="str">
        <f ca="1"/>
        <v>Australia</v>
      </c>
      <c r="C87" s="20">
        <f ca="1"/>
        <v>22393836.800000001</v>
      </c>
    </row>
    <row r="88" spans="1:3" x14ac:dyDescent="0.4">
      <c r="A88" s="2" t="str">
        <f ca="1"/>
        <v>Asia</v>
      </c>
      <c r="B88" s="2" t="str">
        <f ca="1"/>
        <v>Sri Lanka</v>
      </c>
      <c r="C88" s="20">
        <f ca="1"/>
        <v>22393764.240000002</v>
      </c>
    </row>
    <row r="89" spans="1:3" x14ac:dyDescent="0.4">
      <c r="A89" s="2" t="str">
        <f ca="1"/>
        <v>Sub-Saharan Africa</v>
      </c>
      <c r="B89" s="2" t="str">
        <f ca="1"/>
        <v>Niger</v>
      </c>
      <c r="C89" s="20">
        <f ca="1"/>
        <v>22306185.25</v>
      </c>
    </row>
    <row r="90" spans="1:3" x14ac:dyDescent="0.4">
      <c r="A90" s="2" t="str">
        <f ca="1"/>
        <v>Sub-Saharan Africa</v>
      </c>
      <c r="B90" s="2" t="str">
        <f ca="1"/>
        <v>Benin</v>
      </c>
      <c r="C90" s="20">
        <f ca="1"/>
        <v>22273920.680000003</v>
      </c>
    </row>
    <row r="91" spans="1:3" x14ac:dyDescent="0.4">
      <c r="A91" s="2" t="str">
        <f ca="1"/>
        <v>Central America and the Caribbean</v>
      </c>
      <c r="B91" s="2" t="str">
        <f ca="1"/>
        <v>Panama</v>
      </c>
      <c r="C91" s="20">
        <f ca="1"/>
        <v>22253481.509999998</v>
      </c>
    </row>
    <row r="92" spans="1:3" x14ac:dyDescent="0.4">
      <c r="A92" s="2" t="str">
        <f ca="1"/>
        <v>Europe</v>
      </c>
      <c r="B92" s="2" t="str">
        <f ca="1"/>
        <v>Slovenia</v>
      </c>
      <c r="C92" s="20">
        <f ca="1"/>
        <v>22158888.659999993</v>
      </c>
    </row>
    <row r="93" spans="1:3" x14ac:dyDescent="0.4">
      <c r="A93" s="2" t="str">
        <f ca="1"/>
        <v>Middle East and North Africa</v>
      </c>
      <c r="B93" s="2" t="str">
        <f ca="1"/>
        <v>Algeria</v>
      </c>
      <c r="C93" s="20">
        <f ca="1"/>
        <v>22125886.640000004</v>
      </c>
    </row>
    <row r="94" spans="1:3" x14ac:dyDescent="0.4">
      <c r="A94" s="2" t="str">
        <f ca="1"/>
        <v>Australia and Oceania</v>
      </c>
      <c r="B94" s="2" t="str">
        <f ca="1"/>
        <v>Papua New Guinea</v>
      </c>
      <c r="C94" s="20">
        <f ca="1"/>
        <v>22083108.349999994</v>
      </c>
    </row>
    <row r="95" spans="1:3" x14ac:dyDescent="0.4">
      <c r="A95" s="2" t="str">
        <f ca="1"/>
        <v>Europe</v>
      </c>
      <c r="B95" s="2" t="str">
        <f ca="1"/>
        <v>Montenegro</v>
      </c>
      <c r="C95" s="20">
        <f ca="1"/>
        <v>22082815.770000007</v>
      </c>
    </row>
    <row r="96" spans="1:3" x14ac:dyDescent="0.4">
      <c r="A96" s="2" t="str">
        <f ca="1"/>
        <v>Asia</v>
      </c>
      <c r="B96" s="2" t="str">
        <f ca="1"/>
        <v>North Korea</v>
      </c>
      <c r="C96" s="20">
        <f ca="1"/>
        <v>22062373.050000004</v>
      </c>
    </row>
    <row r="97" spans="1:3" x14ac:dyDescent="0.4">
      <c r="A97" s="2" t="str">
        <f ca="1"/>
        <v>Asia</v>
      </c>
      <c r="B97" s="2" t="str">
        <f ca="1"/>
        <v>Maldives</v>
      </c>
      <c r="C97" s="20">
        <f ca="1"/>
        <v>22027274.190000001</v>
      </c>
    </row>
    <row r="98" spans="1:3" x14ac:dyDescent="0.4">
      <c r="A98" s="2" t="str">
        <f ca="1"/>
        <v>Sub-Saharan Africa</v>
      </c>
      <c r="B98" s="2" t="str">
        <f ca="1"/>
        <v>Guinea</v>
      </c>
      <c r="C98" s="20">
        <f ca="1"/>
        <v>21702071.210000008</v>
      </c>
    </row>
    <row r="99" spans="1:3" x14ac:dyDescent="0.4">
      <c r="A99" s="2" t="str">
        <f ca="1"/>
        <v>Europe</v>
      </c>
      <c r="B99" s="2" t="str">
        <f ca="1"/>
        <v>Georgia</v>
      </c>
      <c r="C99" s="20">
        <f ca="1"/>
        <v>21670883.449999996</v>
      </c>
    </row>
    <row r="100" spans="1:3" x14ac:dyDescent="0.4">
      <c r="A100" s="2" t="str">
        <f ca="1"/>
        <v>North America</v>
      </c>
      <c r="B100" s="2" t="str">
        <f ca="1"/>
        <v>Greenland</v>
      </c>
      <c r="C100" s="20">
        <f ca="1"/>
        <v>21588001.48</v>
      </c>
    </row>
    <row r="101" spans="1:3" x14ac:dyDescent="0.4">
      <c r="A101" s="2" t="str">
        <f ca="1"/>
        <v>Europe</v>
      </c>
      <c r="B101" s="2" t="str">
        <f ca="1"/>
        <v>Cyprus</v>
      </c>
      <c r="C101" s="20">
        <f ca="1"/>
        <v>21441456.670000006</v>
      </c>
    </row>
    <row r="102" spans="1:3" x14ac:dyDescent="0.4">
      <c r="A102" s="2" t="str">
        <f ca="1"/>
        <v>Sub-Saharan Africa</v>
      </c>
      <c r="B102" s="2" t="str">
        <f ca="1"/>
        <v>Madagascar</v>
      </c>
      <c r="C102" s="20">
        <f ca="1"/>
        <v>21260893.289999992</v>
      </c>
    </row>
    <row r="103" spans="1:3" x14ac:dyDescent="0.4">
      <c r="A103" s="2" t="str">
        <f ca="1"/>
        <v>Europe</v>
      </c>
      <c r="B103" s="2" t="str">
        <f ca="1"/>
        <v>Luxembourg</v>
      </c>
      <c r="C103" s="20">
        <f ca="1"/>
        <v>21219788.109999992</v>
      </c>
    </row>
    <row r="104" spans="1:3" x14ac:dyDescent="0.4">
      <c r="A104" s="2" t="str">
        <f ca="1"/>
        <v>Asia</v>
      </c>
      <c r="B104" s="2" t="str">
        <f ca="1"/>
        <v>Brunei</v>
      </c>
      <c r="C104" s="20">
        <f ca="1"/>
        <v>21198560.199999999</v>
      </c>
    </row>
    <row r="105" spans="1:3" x14ac:dyDescent="0.4">
      <c r="A105" s="2" t="str">
        <f ca="1"/>
        <v>Sub-Saharan Africa</v>
      </c>
      <c r="B105" s="2" t="str">
        <f ca="1"/>
        <v>South Sudan</v>
      </c>
      <c r="C105" s="20">
        <f ca="1"/>
        <v>21193783.380000003</v>
      </c>
    </row>
    <row r="106" spans="1:3" x14ac:dyDescent="0.4">
      <c r="A106" s="2" t="str">
        <f ca="1"/>
        <v>Europe</v>
      </c>
      <c r="B106" s="2" t="str">
        <f ca="1"/>
        <v>Romania</v>
      </c>
      <c r="C106" s="20">
        <f ca="1"/>
        <v>21184881.840000004</v>
      </c>
    </row>
    <row r="107" spans="1:3" x14ac:dyDescent="0.4">
      <c r="A107" s="2" t="str">
        <f ca="1"/>
        <v>Sub-Saharan Africa</v>
      </c>
      <c r="B107" s="2" t="str">
        <f ca="1"/>
        <v>Zimbabwe</v>
      </c>
      <c r="C107" s="20">
        <f ca="1"/>
        <v>21174631.759999994</v>
      </c>
    </row>
    <row r="108" spans="1:3" x14ac:dyDescent="0.4">
      <c r="A108" s="2" t="str">
        <f ca="1"/>
        <v>Middle East and North Africa</v>
      </c>
      <c r="B108" s="2" t="str">
        <f ca="1"/>
        <v>Jordan</v>
      </c>
      <c r="C108" s="20">
        <f ca="1"/>
        <v>21165744.030000005</v>
      </c>
    </row>
    <row r="109" spans="1:3" x14ac:dyDescent="0.4">
      <c r="A109" s="2" t="str">
        <f ca="1"/>
        <v>Sub-Saharan Africa</v>
      </c>
      <c r="B109" s="2" t="str">
        <f ca="1"/>
        <v>Tanzania</v>
      </c>
      <c r="C109" s="20">
        <f ca="1"/>
        <v>21152258.930000007</v>
      </c>
    </row>
    <row r="110" spans="1:3" x14ac:dyDescent="0.4">
      <c r="A110" s="2" t="str">
        <f ca="1"/>
        <v>Middle East and North Africa</v>
      </c>
      <c r="B110" s="2" t="str">
        <f ca="1"/>
        <v>Israel</v>
      </c>
      <c r="C110" s="20">
        <f ca="1"/>
        <v>21072528.910000004</v>
      </c>
    </row>
    <row r="111" spans="1:3" x14ac:dyDescent="0.4">
      <c r="A111" s="2" t="str">
        <f ca="1"/>
        <v>Europe</v>
      </c>
      <c r="B111" s="2" t="str">
        <f ca="1"/>
        <v>Ukraine</v>
      </c>
      <c r="C111" s="20">
        <f ca="1"/>
        <v>21057819.959999993</v>
      </c>
    </row>
    <row r="112" spans="1:3" x14ac:dyDescent="0.4">
      <c r="A112" s="2" t="str">
        <f ca="1"/>
        <v>Sub-Saharan Africa</v>
      </c>
      <c r="B112" s="2" t="str">
        <f ca="1"/>
        <v>Ghana</v>
      </c>
      <c r="C112" s="20">
        <f ca="1"/>
        <v>21031887.889999993</v>
      </c>
    </row>
    <row r="113" spans="1:3" x14ac:dyDescent="0.4">
      <c r="A113" s="2" t="str">
        <f ca="1"/>
        <v>Middle East and North Africa</v>
      </c>
      <c r="B113" s="2" t="str">
        <f ca="1"/>
        <v>Saudi Arabia</v>
      </c>
      <c r="C113" s="20">
        <f ca="1"/>
        <v>21007766.989999995</v>
      </c>
    </row>
    <row r="114" spans="1:3" x14ac:dyDescent="0.4">
      <c r="A114" s="2" t="str">
        <f ca="1"/>
        <v>Sub-Saharan Africa</v>
      </c>
      <c r="B114" s="2" t="str">
        <f ca="1"/>
        <v>Mozambique</v>
      </c>
      <c r="C114" s="20">
        <f ca="1"/>
        <v>20902729.009999998</v>
      </c>
    </row>
    <row r="115" spans="1:3" x14ac:dyDescent="0.4">
      <c r="A115" s="2" t="str">
        <f ca="1"/>
        <v>Sub-Saharan Africa</v>
      </c>
      <c r="B115" s="2" t="str">
        <f ca="1"/>
        <v>Kenya</v>
      </c>
      <c r="C115" s="20">
        <f ca="1"/>
        <v>20805944.219999995</v>
      </c>
    </row>
    <row r="116" spans="1:3" x14ac:dyDescent="0.4">
      <c r="A116" s="2" t="str">
        <f ca="1"/>
        <v>Sub-Saharan Africa</v>
      </c>
      <c r="B116" s="2" t="str">
        <f ca="1"/>
        <v>Eritrea</v>
      </c>
      <c r="C116" s="20">
        <f ca="1"/>
        <v>20805875.410000008</v>
      </c>
    </row>
    <row r="117" spans="1:3" x14ac:dyDescent="0.4">
      <c r="A117" s="2" t="str">
        <f ca="1"/>
        <v>Europe</v>
      </c>
      <c r="B117" s="2" t="str">
        <f ca="1"/>
        <v>Bulgaria</v>
      </c>
      <c r="C117" s="20">
        <f ca="1"/>
        <v>20787888.730000004</v>
      </c>
    </row>
    <row r="118" spans="1:3" x14ac:dyDescent="0.4">
      <c r="A118" s="2" t="str">
        <f ca="1"/>
        <v>Asia</v>
      </c>
      <c r="B118" s="2" t="str">
        <f ca="1"/>
        <v>Thailand</v>
      </c>
      <c r="C118" s="20">
        <f ca="1"/>
        <v>20707529.619999997</v>
      </c>
    </row>
    <row r="119" spans="1:3" x14ac:dyDescent="0.4">
      <c r="A119" s="2" t="str">
        <f ca="1"/>
        <v>Europe</v>
      </c>
      <c r="B119" s="2" t="str">
        <f ca="1"/>
        <v>Kosovo</v>
      </c>
      <c r="C119" s="20">
        <f ca="1"/>
        <v>20595410.250000004</v>
      </c>
    </row>
    <row r="120" spans="1:3" x14ac:dyDescent="0.4">
      <c r="A120" s="2" t="str">
        <f ca="1"/>
        <v>Sub-Saharan Africa</v>
      </c>
      <c r="B120" s="2" t="str">
        <f ca="1"/>
        <v>Democratic Republic of the Congo</v>
      </c>
      <c r="C120" s="20">
        <f ca="1"/>
        <v>20433705.789999999</v>
      </c>
    </row>
    <row r="121" spans="1:3" x14ac:dyDescent="0.4">
      <c r="A121" s="2" t="str">
        <f ca="1"/>
        <v>Europe</v>
      </c>
      <c r="B121" s="2" t="str">
        <f ca="1"/>
        <v>Spain</v>
      </c>
      <c r="C121" s="20">
        <f ca="1"/>
        <v>20406015.350000001</v>
      </c>
    </row>
    <row r="122" spans="1:3" x14ac:dyDescent="0.4">
      <c r="A122" s="2" t="str">
        <f ca="1"/>
        <v>Middle East and North Africa</v>
      </c>
      <c r="B122" s="2" t="str">
        <f ca="1"/>
        <v>Lebanon</v>
      </c>
      <c r="C122" s="20">
        <f ca="1"/>
        <v>20381122.18</v>
      </c>
    </row>
    <row r="123" spans="1:3" x14ac:dyDescent="0.4">
      <c r="A123" s="2" t="str">
        <f ca="1"/>
        <v>Europe</v>
      </c>
      <c r="B123" s="2" t="str">
        <f ca="1"/>
        <v>Slovakia</v>
      </c>
      <c r="C123" s="20">
        <f ca="1"/>
        <v>20322490.050000004</v>
      </c>
    </row>
    <row r="124" spans="1:3" x14ac:dyDescent="0.4">
      <c r="A124" s="2" t="str">
        <f ca="1"/>
        <v>Central America and the Caribbean</v>
      </c>
      <c r="B124" s="2" t="str">
        <f ca="1"/>
        <v>Haiti</v>
      </c>
      <c r="C124" s="20">
        <f ca="1"/>
        <v>20239742.029999994</v>
      </c>
    </row>
    <row r="125" spans="1:3" x14ac:dyDescent="0.4">
      <c r="A125" s="2" t="str">
        <f ca="1"/>
        <v>Europe</v>
      </c>
      <c r="B125" s="2" t="str">
        <f ca="1"/>
        <v>Macedonia</v>
      </c>
      <c r="C125" s="20">
        <f ca="1"/>
        <v>20092232.370000001</v>
      </c>
    </row>
    <row r="126" spans="1:3" x14ac:dyDescent="0.4">
      <c r="A126" s="2" t="str">
        <f ca="1"/>
        <v>Sub-Saharan Africa</v>
      </c>
      <c r="B126" s="2" t="str">
        <f ca="1"/>
        <v>Togo</v>
      </c>
      <c r="C126" s="20">
        <f ca="1"/>
        <v>20026536.179999996</v>
      </c>
    </row>
    <row r="127" spans="1:3" x14ac:dyDescent="0.4">
      <c r="A127" s="2" t="str">
        <f ca="1"/>
        <v>Europe</v>
      </c>
      <c r="B127" s="2" t="str">
        <f ca="1"/>
        <v>Belgium</v>
      </c>
      <c r="C127" s="20">
        <f ca="1"/>
        <v>19992722.339999996</v>
      </c>
    </row>
    <row r="128" spans="1:3" x14ac:dyDescent="0.4">
      <c r="A128" s="2" t="str">
        <f ca="1"/>
        <v>Australia and Oceania</v>
      </c>
      <c r="B128" s="2" t="str">
        <f ca="1"/>
        <v>Vanuatu</v>
      </c>
      <c r="C128" s="20">
        <f ca="1"/>
        <v>19956132.869999997</v>
      </c>
    </row>
    <row r="129" spans="1:3" x14ac:dyDescent="0.4">
      <c r="A129" s="2" t="str">
        <f ca="1"/>
        <v>Central America and the Caribbean</v>
      </c>
      <c r="B129" s="2" t="str">
        <f ca="1"/>
        <v>Dominica</v>
      </c>
      <c r="C129" s="20">
        <f ca="1"/>
        <v>19953536.129999995</v>
      </c>
    </row>
    <row r="130" spans="1:3" x14ac:dyDescent="0.4">
      <c r="A130" s="2" t="str">
        <f ca="1"/>
        <v>Middle East and North Africa</v>
      </c>
      <c r="B130" s="2" t="str">
        <f ca="1"/>
        <v>Pakistan</v>
      </c>
      <c r="C130" s="20">
        <f ca="1"/>
        <v>19728342.380000003</v>
      </c>
    </row>
    <row r="131" spans="1:3" x14ac:dyDescent="0.4">
      <c r="A131" s="2" t="str">
        <f ca="1"/>
        <v>Sub-Saharan Africa</v>
      </c>
      <c r="B131" s="2" t="str">
        <f ca="1"/>
        <v xml:space="preserve">Mauritius </v>
      </c>
      <c r="C131" s="20">
        <f ca="1"/>
        <v>19702913.750000004</v>
      </c>
    </row>
    <row r="132" spans="1:3" x14ac:dyDescent="0.4">
      <c r="A132" s="2" t="str">
        <f ca="1"/>
        <v>Europe</v>
      </c>
      <c r="B132" s="2" t="str">
        <f ca="1"/>
        <v>Czech Republic</v>
      </c>
      <c r="C132" s="20">
        <f ca="1"/>
        <v>19679058.240000006</v>
      </c>
    </row>
    <row r="133" spans="1:3" x14ac:dyDescent="0.4">
      <c r="A133" s="2" t="str">
        <f ca="1"/>
        <v>Sub-Saharan Africa</v>
      </c>
      <c r="B133" s="2" t="str">
        <f ca="1"/>
        <v>Sierra Leone</v>
      </c>
      <c r="C133" s="20">
        <f ca="1"/>
        <v>19665083.039999999</v>
      </c>
    </row>
    <row r="134" spans="1:3" x14ac:dyDescent="0.4">
      <c r="A134" s="2" t="str">
        <f ca="1"/>
        <v>Middle East and North Africa</v>
      </c>
      <c r="B134" s="2" t="str">
        <f ca="1"/>
        <v>Iraq</v>
      </c>
      <c r="C134" s="20">
        <f ca="1"/>
        <v>19631817.379999999</v>
      </c>
    </row>
    <row r="135" spans="1:3" x14ac:dyDescent="0.4">
      <c r="A135" s="2" t="str">
        <f ca="1"/>
        <v>Central America and the Caribbean</v>
      </c>
      <c r="B135" s="2" t="str">
        <f ca="1"/>
        <v>Jamaica</v>
      </c>
      <c r="C135" s="20">
        <f ca="1"/>
        <v>19610345.960000001</v>
      </c>
    </row>
    <row r="136" spans="1:3" x14ac:dyDescent="0.4">
      <c r="A136" s="2" t="str">
        <f ca="1"/>
        <v>Sub-Saharan Africa</v>
      </c>
      <c r="B136" s="2" t="str">
        <f ca="1"/>
        <v>Angola</v>
      </c>
      <c r="C136" s="20">
        <f ca="1"/>
        <v>19596150.579999998</v>
      </c>
    </row>
    <row r="137" spans="1:3" x14ac:dyDescent="0.4">
      <c r="A137" s="2" t="str">
        <f ca="1"/>
        <v>Europe</v>
      </c>
      <c r="B137" s="2" t="str">
        <f ca="1"/>
        <v>Albania</v>
      </c>
      <c r="C137" s="20">
        <f ca="1"/>
        <v>19583969.700000003</v>
      </c>
    </row>
    <row r="138" spans="1:3" x14ac:dyDescent="0.4">
      <c r="A138" s="2" t="str">
        <f ca="1"/>
        <v>Australia and Oceania</v>
      </c>
      <c r="B138" s="2" t="str">
        <f ca="1"/>
        <v xml:space="preserve">Samoa </v>
      </c>
      <c r="C138" s="20">
        <f ca="1"/>
        <v>19499628.089999996</v>
      </c>
    </row>
    <row r="139" spans="1:3" x14ac:dyDescent="0.4">
      <c r="A139" s="2" t="str">
        <f ca="1"/>
        <v>Europe</v>
      </c>
      <c r="B139" s="2" t="str">
        <f ca="1"/>
        <v>France</v>
      </c>
      <c r="C139" s="20">
        <f ca="1"/>
        <v>19199104.959999997</v>
      </c>
    </row>
    <row r="140" spans="1:3" x14ac:dyDescent="0.4">
      <c r="A140" s="2" t="str">
        <f ca="1"/>
        <v>Europe</v>
      </c>
      <c r="B140" s="2" t="str">
        <f ca="1"/>
        <v>Estonia</v>
      </c>
      <c r="C140" s="20">
        <f ca="1"/>
        <v>19139460.849999998</v>
      </c>
    </row>
    <row r="141" spans="1:3" x14ac:dyDescent="0.4">
      <c r="A141" s="2" t="str">
        <f ca="1"/>
        <v>Sub-Saharan Africa</v>
      </c>
      <c r="B141" s="2" t="str">
        <f ca="1"/>
        <v>Cameroon</v>
      </c>
      <c r="C141" s="20">
        <f ca="1"/>
        <v>19125131.249999996</v>
      </c>
    </row>
    <row r="142" spans="1:3" x14ac:dyDescent="0.4">
      <c r="A142" s="2" t="str">
        <f ca="1"/>
        <v>Central America and the Caribbean</v>
      </c>
      <c r="B142" s="2" t="str">
        <f ca="1"/>
        <v>Barbados</v>
      </c>
      <c r="C142" s="20">
        <f ca="1"/>
        <v>19091685.049999997</v>
      </c>
    </row>
    <row r="143" spans="1:3" x14ac:dyDescent="0.4">
      <c r="A143" s="2" t="str">
        <f ca="1"/>
        <v>Sub-Saharan Africa</v>
      </c>
      <c r="B143" s="2" t="str">
        <f ca="1"/>
        <v>Central African Republic</v>
      </c>
      <c r="C143" s="20">
        <f ca="1"/>
        <v>18990655.549999997</v>
      </c>
    </row>
    <row r="144" spans="1:3" x14ac:dyDescent="0.4">
      <c r="A144" s="2" t="str">
        <f ca="1"/>
        <v>Asia</v>
      </c>
      <c r="B144" s="2" t="str">
        <f ca="1"/>
        <v>Myanmar</v>
      </c>
      <c r="C144" s="20">
        <f ca="1"/>
        <v>18948513.110000003</v>
      </c>
    </row>
    <row r="145" spans="1:3" x14ac:dyDescent="0.4">
      <c r="A145" s="2" t="str">
        <f ca="1"/>
        <v>Central America and the Caribbean</v>
      </c>
      <c r="B145" s="2" t="str">
        <f ca="1"/>
        <v>Costa Rica</v>
      </c>
      <c r="C145" s="20">
        <f ca="1"/>
        <v>18931889.279999997</v>
      </c>
    </row>
    <row r="146" spans="1:3" x14ac:dyDescent="0.4">
      <c r="A146" s="2" t="str">
        <f ca="1"/>
        <v>Europe</v>
      </c>
      <c r="B146" s="2" t="str">
        <f ca="1"/>
        <v>Sweden</v>
      </c>
      <c r="C146" s="20">
        <f ca="1"/>
        <v>18874303.510000005</v>
      </c>
    </row>
    <row r="147" spans="1:3" x14ac:dyDescent="0.4">
      <c r="A147" s="2" t="str">
        <f ca="1"/>
        <v>Europe</v>
      </c>
      <c r="B147" s="2" t="str">
        <f ca="1"/>
        <v>Norway</v>
      </c>
      <c r="C147" s="20">
        <f ca="1"/>
        <v>18836470.190000001</v>
      </c>
    </row>
    <row r="148" spans="1:3" x14ac:dyDescent="0.4">
      <c r="A148" s="2" t="str">
        <f ca="1"/>
        <v>Asia</v>
      </c>
      <c r="B148" s="2" t="str">
        <f ca="1"/>
        <v>Laos</v>
      </c>
      <c r="C148" s="20">
        <f ca="1"/>
        <v>18775038.48</v>
      </c>
    </row>
    <row r="149" spans="1:3" x14ac:dyDescent="0.4">
      <c r="A149" s="2" t="str">
        <f ca="1"/>
        <v>Australia and Oceania</v>
      </c>
      <c r="B149" s="2" t="str">
        <f ca="1"/>
        <v>Nauru</v>
      </c>
      <c r="C149" s="20">
        <f ca="1"/>
        <v>18646871.84</v>
      </c>
    </row>
    <row r="150" spans="1:3" x14ac:dyDescent="0.4">
      <c r="A150" s="2" t="str">
        <f ca="1"/>
        <v>Middle East and North Africa</v>
      </c>
      <c r="B150" s="2" t="str">
        <f ca="1"/>
        <v>Libya</v>
      </c>
      <c r="C150" s="20">
        <f ca="1"/>
        <v>18622683.360000003</v>
      </c>
    </row>
    <row r="151" spans="1:3" x14ac:dyDescent="0.4">
      <c r="A151" s="2" t="str">
        <f ca="1"/>
        <v>Europe</v>
      </c>
      <c r="B151" s="2" t="str">
        <f ca="1"/>
        <v>Belarus</v>
      </c>
      <c r="C151" s="20">
        <f ca="1"/>
        <v>18612786.010000002</v>
      </c>
    </row>
    <row r="152" spans="1:3" x14ac:dyDescent="0.4">
      <c r="A152" s="2" t="str">
        <f ca="1"/>
        <v>Middle East and North Africa</v>
      </c>
      <c r="B152" s="2" t="str">
        <f ca="1"/>
        <v>Oman</v>
      </c>
      <c r="C152" s="20">
        <f ca="1"/>
        <v>18611356.620000005</v>
      </c>
    </row>
    <row r="153" spans="1:3" x14ac:dyDescent="0.4">
      <c r="A153" s="2" t="str">
        <f ca="1"/>
        <v>Asia</v>
      </c>
      <c r="B153" s="2" t="str">
        <f ca="1"/>
        <v>Japan</v>
      </c>
      <c r="C153" s="20">
        <f ca="1"/>
        <v>18574894.879999999</v>
      </c>
    </row>
    <row r="154" spans="1:3" x14ac:dyDescent="0.4">
      <c r="A154" s="2" t="str">
        <f ca="1"/>
        <v>Sub-Saharan Africa</v>
      </c>
      <c r="B154" s="2" t="str">
        <f ca="1"/>
        <v>South Africa</v>
      </c>
      <c r="C154" s="20">
        <f ca="1"/>
        <v>18511026.57</v>
      </c>
    </row>
    <row r="155" spans="1:3" x14ac:dyDescent="0.4">
      <c r="A155" s="2" t="str">
        <f ca="1"/>
        <v>Central America and the Caribbean</v>
      </c>
      <c r="B155" s="2" t="str">
        <f ca="1"/>
        <v>Trinidad and Tobago</v>
      </c>
      <c r="C155" s="20">
        <f ca="1"/>
        <v>18506428.569999997</v>
      </c>
    </row>
    <row r="156" spans="1:3" x14ac:dyDescent="0.4">
      <c r="A156" s="2" t="str">
        <f ca="1"/>
        <v>Central America and the Caribbean</v>
      </c>
      <c r="B156" s="2" t="str">
        <f ca="1"/>
        <v>Saint Vincent and the Grenadines</v>
      </c>
      <c r="C156" s="20">
        <f ca="1"/>
        <v>18375321.239999998</v>
      </c>
    </row>
    <row r="157" spans="1:3" x14ac:dyDescent="0.4">
      <c r="A157" s="2" t="str">
        <f ca="1"/>
        <v>Europe</v>
      </c>
      <c r="B157" s="2" t="str">
        <f ca="1"/>
        <v>San Marino</v>
      </c>
      <c r="C157" s="20">
        <f ca="1"/>
        <v>18369190.23</v>
      </c>
    </row>
    <row r="158" spans="1:3" x14ac:dyDescent="0.4">
      <c r="A158" s="2" t="str">
        <f ca="1"/>
        <v>Sub-Saharan Africa</v>
      </c>
      <c r="B158" s="2" t="str">
        <f ca="1"/>
        <v>The Gambia</v>
      </c>
      <c r="C158" s="20">
        <f ca="1"/>
        <v>18318875.150000002</v>
      </c>
    </row>
    <row r="159" spans="1:3" x14ac:dyDescent="0.4">
      <c r="A159" s="2" t="str">
        <f ca="1"/>
        <v>Sub-Saharan Africa</v>
      </c>
      <c r="B159" s="2" t="str">
        <f ca="1"/>
        <v>Djibouti</v>
      </c>
      <c r="C159" s="20">
        <f ca="1"/>
        <v>18127339.099999998</v>
      </c>
    </row>
    <row r="160" spans="1:3" x14ac:dyDescent="0.4">
      <c r="A160" s="2" t="str">
        <f ca="1"/>
        <v>Central America and the Caribbean</v>
      </c>
      <c r="B160" s="2" t="str">
        <f ca="1"/>
        <v>Dominican Republic</v>
      </c>
      <c r="C160" s="20">
        <f ca="1"/>
        <v>18082348.470000003</v>
      </c>
    </row>
    <row r="161" spans="1:3" x14ac:dyDescent="0.4">
      <c r="A161" s="2" t="str">
        <f ca="1"/>
        <v>Sub-Saharan Africa</v>
      </c>
      <c r="B161" s="2" t="str">
        <f ca="1"/>
        <v>Gabon</v>
      </c>
      <c r="C161" s="20">
        <f ca="1"/>
        <v>17988031.40000001</v>
      </c>
    </row>
    <row r="162" spans="1:3" x14ac:dyDescent="0.4">
      <c r="A162" s="2" t="str">
        <f ca="1"/>
        <v>Central America and the Caribbean</v>
      </c>
      <c r="B162" s="2" t="str">
        <f ca="1"/>
        <v>Cuba</v>
      </c>
      <c r="C162" s="20">
        <f ca="1"/>
        <v>17888775.800000004</v>
      </c>
    </row>
    <row r="163" spans="1:3" x14ac:dyDescent="0.4">
      <c r="A163" s="2" t="str">
        <f ca="1"/>
        <v>Europe</v>
      </c>
      <c r="B163" s="2" t="str">
        <f ca="1"/>
        <v>Latvia</v>
      </c>
      <c r="C163" s="20">
        <f ca="1"/>
        <v>17878505.860000007</v>
      </c>
    </row>
    <row r="164" spans="1:3" x14ac:dyDescent="0.4">
      <c r="A164" s="2" t="str">
        <f ca="1"/>
        <v>Central America and the Caribbean</v>
      </c>
      <c r="B164" s="2" t="str">
        <f ca="1"/>
        <v>Nicaragua</v>
      </c>
      <c r="C164" s="20">
        <f ca="1"/>
        <v>17843364.300000001</v>
      </c>
    </row>
    <row r="165" spans="1:3" x14ac:dyDescent="0.4">
      <c r="A165" s="2" t="str">
        <f ca="1"/>
        <v>Australia and Oceania</v>
      </c>
      <c r="B165" s="2" t="str">
        <f ca="1"/>
        <v>Solomon Islands</v>
      </c>
      <c r="C165" s="20">
        <f ca="1"/>
        <v>17814961.649999999</v>
      </c>
    </row>
    <row r="166" spans="1:3" x14ac:dyDescent="0.4">
      <c r="A166" s="2" t="str">
        <f ca="1"/>
        <v>Central America and the Caribbean</v>
      </c>
      <c r="B166" s="2" t="str">
        <f ca="1"/>
        <v xml:space="preserve">Antigua and Barbuda </v>
      </c>
      <c r="C166" s="20">
        <f ca="1"/>
        <v>17792979.410000004</v>
      </c>
    </row>
    <row r="167" spans="1:3" x14ac:dyDescent="0.4">
      <c r="A167" s="2" t="str">
        <f ca="1"/>
        <v>Sub-Saharan Africa</v>
      </c>
      <c r="B167" s="2" t="str">
        <f ca="1"/>
        <v>Comoros</v>
      </c>
      <c r="C167" s="20">
        <f ca="1"/>
        <v>17670491.469999995</v>
      </c>
    </row>
    <row r="168" spans="1:3" x14ac:dyDescent="0.4">
      <c r="A168" s="2" t="str">
        <f ca="1"/>
        <v>Sub-Saharan Africa</v>
      </c>
      <c r="B168" s="2" t="str">
        <f ca="1"/>
        <v>Mauritania</v>
      </c>
      <c r="C168" s="20">
        <f ca="1"/>
        <v>17659556.279999997</v>
      </c>
    </row>
    <row r="169" spans="1:3" x14ac:dyDescent="0.4">
      <c r="A169" s="2" t="str">
        <f ca="1"/>
        <v>Australia and Oceania</v>
      </c>
      <c r="B169" s="2" t="str">
        <f ca="1"/>
        <v>Marshall Islands</v>
      </c>
      <c r="C169" s="20">
        <f ca="1"/>
        <v>17438109.329999998</v>
      </c>
    </row>
    <row r="170" spans="1:3" x14ac:dyDescent="0.4">
      <c r="A170" s="2" t="str">
        <f ca="1"/>
        <v>Europe</v>
      </c>
      <c r="B170" s="2" t="str">
        <f ca="1"/>
        <v>Monaco</v>
      </c>
      <c r="C170" s="20">
        <f ca="1"/>
        <v>17391076.440000005</v>
      </c>
    </row>
    <row r="171" spans="1:3" x14ac:dyDescent="0.4">
      <c r="A171" s="2" t="str">
        <f ca="1"/>
        <v>Australia and Oceania</v>
      </c>
      <c r="B171" s="2" t="str">
        <f ca="1"/>
        <v>Tonga</v>
      </c>
      <c r="C171" s="20">
        <f ca="1"/>
        <v>17229813.759999998</v>
      </c>
    </row>
    <row r="172" spans="1:3" x14ac:dyDescent="0.4">
      <c r="A172" s="2" t="str">
        <f ca="1"/>
        <v>Central America and the Caribbean</v>
      </c>
      <c r="B172" s="2" t="str">
        <f ca="1"/>
        <v>The Bahamas</v>
      </c>
      <c r="C172" s="20">
        <f ca="1"/>
        <v>17012150.990000002</v>
      </c>
    </row>
    <row r="173" spans="1:3" x14ac:dyDescent="0.4">
      <c r="A173" s="2" t="str">
        <f ca="1"/>
        <v>Europe</v>
      </c>
      <c r="B173" s="2" t="str">
        <f ca="1"/>
        <v>Vatican City</v>
      </c>
      <c r="C173" s="20">
        <f ca="1"/>
        <v>16978429.040000003</v>
      </c>
    </row>
    <row r="174" spans="1:3" x14ac:dyDescent="0.4">
      <c r="A174" s="2" t="str">
        <f ca="1"/>
        <v>Central America and the Caribbean</v>
      </c>
      <c r="B174" s="2" t="str">
        <f ca="1"/>
        <v>Saint Lucia</v>
      </c>
      <c r="C174" s="20">
        <f ca="1"/>
        <v>16973452.629999999</v>
      </c>
    </row>
    <row r="175" spans="1:3" x14ac:dyDescent="0.4">
      <c r="A175" s="2" t="str">
        <f ca="1"/>
        <v>Sub-Saharan Africa</v>
      </c>
      <c r="B175" s="2" t="str">
        <f ca="1"/>
        <v>Lesotho</v>
      </c>
      <c r="C175" s="20">
        <f ca="1"/>
        <v>16821465.940000001</v>
      </c>
    </row>
    <row r="176" spans="1:3" x14ac:dyDescent="0.4">
      <c r="A176" s="2" t="str">
        <f ca="1"/>
        <v>Sub-Saharan Africa</v>
      </c>
      <c r="B176" s="2" t="str">
        <f ca="1"/>
        <v>Namibia</v>
      </c>
      <c r="C176" s="20">
        <f ca="1"/>
        <v>16774838.749999998</v>
      </c>
    </row>
    <row r="177" spans="1:3" x14ac:dyDescent="0.4">
      <c r="A177" s="2" t="str">
        <f ca="1"/>
        <v>Sub-Saharan Africa</v>
      </c>
      <c r="B177" s="2" t="str">
        <f ca="1"/>
        <v>Republic of the Congo</v>
      </c>
      <c r="C177" s="20">
        <f ca="1"/>
        <v>16694580.899999999</v>
      </c>
    </row>
    <row r="178" spans="1:3" x14ac:dyDescent="0.4">
      <c r="A178" s="2" t="str">
        <f ca="1"/>
        <v>Asia</v>
      </c>
      <c r="B178" s="2" t="str">
        <f ca="1"/>
        <v>Nepal</v>
      </c>
      <c r="C178" s="20">
        <f ca="1"/>
        <v>16677397.509999996</v>
      </c>
    </row>
    <row r="179" spans="1:3" x14ac:dyDescent="0.4">
      <c r="A179" s="2" t="str">
        <f ca="1"/>
        <v>Middle East and North Africa</v>
      </c>
      <c r="B179" s="2" t="str">
        <f ca="1"/>
        <v>Yemen</v>
      </c>
      <c r="C179" s="20">
        <f ca="1"/>
        <v>16666875.070000002</v>
      </c>
    </row>
    <row r="180" spans="1:3" x14ac:dyDescent="0.4">
      <c r="A180" s="2" t="str">
        <f ca="1"/>
        <v>Europe</v>
      </c>
      <c r="B180" s="2" t="str">
        <f ca="1"/>
        <v>Andorra</v>
      </c>
      <c r="C180" s="20">
        <f ca="1"/>
        <v>16653936.870000001</v>
      </c>
    </row>
    <row r="181" spans="1:3" x14ac:dyDescent="0.4">
      <c r="A181" s="2" t="str">
        <f ca="1"/>
        <v>Asia</v>
      </c>
      <c r="B181" s="2" t="str">
        <f ca="1"/>
        <v>Malaysia</v>
      </c>
      <c r="C181" s="20">
        <f ca="1"/>
        <v>16015753.199999999</v>
      </c>
    </row>
    <row r="182" spans="1:3" x14ac:dyDescent="0.4">
      <c r="A182" s="2" t="str">
        <f ca="1"/>
        <v>Asia</v>
      </c>
      <c r="B182" s="2" t="str">
        <f ca="1"/>
        <v>Indonesia</v>
      </c>
      <c r="C182" s="20">
        <f ca="1"/>
        <v>16010222.290000001</v>
      </c>
    </row>
    <row r="183" spans="1:3" x14ac:dyDescent="0.4">
      <c r="A183" s="2" t="str">
        <f ca="1"/>
        <v>Europe</v>
      </c>
      <c r="B183" s="2" t="str">
        <f ca="1"/>
        <v>Hungary</v>
      </c>
      <c r="C183" s="20">
        <f ca="1"/>
        <v>15943684.099999996</v>
      </c>
    </row>
    <row r="184" spans="1:3" x14ac:dyDescent="0.4">
      <c r="A184" s="2" t="str">
        <f ca="1"/>
        <v>Sub-Saharan Africa</v>
      </c>
      <c r="B184" s="2" t="str">
        <f ca="1"/>
        <v>Equatorial Guinea</v>
      </c>
      <c r="C184" s="20">
        <f ca="1"/>
        <v>15561670.409999996</v>
      </c>
    </row>
    <row r="185" spans="1:3" x14ac:dyDescent="0.4">
      <c r="A185" s="2" t="str">
        <f ca="1"/>
        <v>Australia and Oceania</v>
      </c>
      <c r="B185" s="2" t="str">
        <f ca="1"/>
        <v>East Timor</v>
      </c>
      <c r="C185" s="20">
        <f ca="1"/>
        <v>15514056.290000001</v>
      </c>
    </row>
    <row r="186" spans="1:3" x14ac:dyDescent="0.4">
      <c r="A186" s="2" t="str">
        <f ca="1"/>
        <v>Europe</v>
      </c>
      <c r="B186" s="2" t="str">
        <f ca="1"/>
        <v>Armenia</v>
      </c>
      <c r="C186" s="20">
        <f ca="1"/>
        <v>15509887.290000001</v>
      </c>
    </row>
    <row r="187" spans="1:3" x14ac:dyDescent="0.4">
      <c r="A187" s="2" t="str">
        <f ca="1"/>
        <v>Sub-Saharan Africa</v>
      </c>
      <c r="B187" s="2" t="str">
        <f ca="1"/>
        <v>Liberia</v>
      </c>
      <c r="C187" s="20">
        <f ca="1"/>
        <v>15406339.43</v>
      </c>
    </row>
    <row r="188" spans="1:3" x14ac:dyDescent="0.4">
      <c r="A188" s="2" t="str">
        <f ca="1"/>
        <v>Middle East and North Africa</v>
      </c>
      <c r="B188" s="2" t="str">
        <f ca="1"/>
        <v>Turkey</v>
      </c>
      <c r="C188" s="20">
        <f ca="1"/>
        <v>15019621.170000002</v>
      </c>
    </row>
    <row r="189" spans="1:3" x14ac:dyDescent="0.4">
      <c r="A189" s="2" t="str">
        <f ca="1"/>
        <v>Sub-Saharan Africa</v>
      </c>
      <c r="B189" s="2" t="str">
        <f ca="1"/>
        <v>Sao Tome and Principe</v>
      </c>
      <c r="C189" s="20">
        <f ca="1"/>
        <v>14810451.219999999</v>
      </c>
    </row>
    <row r="190" spans="1:3" x14ac:dyDescent="0.4">
      <c r="A190" s="2" t="str">
        <f ca="1"/>
        <v>Asia</v>
      </c>
      <c r="B190" s="2" t="str">
        <f ca="1"/>
        <v>Singapore</v>
      </c>
      <c r="C190" s="20">
        <f ca="1"/>
        <v>14709325.910000004</v>
      </c>
    </row>
    <row r="191" spans="1:3" x14ac:dyDescent="0.4">
      <c r="A191" s="2" t="str">
        <f ca="1"/>
        <v>Middle East and North Africa</v>
      </c>
      <c r="B191" s="2" t="str">
        <f ca="1"/>
        <v>Syria</v>
      </c>
      <c r="C191" s="20">
        <f ca="1"/>
        <v>14536103.719999999</v>
      </c>
    </row>
    <row r="192" spans="1:3" x14ac:dyDescent="0.4">
      <c r="A192" s="2" t="str">
        <f ca="1"/>
        <v>Sub-Saharan Africa</v>
      </c>
      <c r="B192" s="2" t="str">
        <f ca="1"/>
        <v>Cote d'Ivoire</v>
      </c>
      <c r="C192" s="20">
        <f ca="1"/>
        <v>14521698.840000005</v>
      </c>
    </row>
    <row r="193" spans="1:3" x14ac:dyDescent="0.4">
      <c r="A193" s="2" t="str">
        <f ca="1"/>
        <v>Central America and the Caribbean</v>
      </c>
      <c r="B193" s="2" t="str">
        <f ca="1"/>
        <v>Belize</v>
      </c>
      <c r="C193" s="20">
        <f ca="1"/>
        <v>14384763.699999999</v>
      </c>
    </row>
    <row r="194" spans="1:3" x14ac:dyDescent="0.4">
      <c r="A194" s="2" t="str">
        <f ca="1"/>
        <v>Sub-Saharan Africa</v>
      </c>
      <c r="B194" s="2" t="str">
        <f ca="1"/>
        <v>Cape Verde</v>
      </c>
      <c r="C194" s="20">
        <f ca="1"/>
        <v>14383303.519999998</v>
      </c>
    </row>
    <row r="195" spans="1:3" x14ac:dyDescent="0.4">
      <c r="A195" s="2" t="str">
        <f ca="1"/>
        <v>Europe</v>
      </c>
      <c r="B195" s="2" t="str">
        <f ca="1"/>
        <v>Italy</v>
      </c>
      <c r="C195" s="20">
        <f ca="1"/>
        <v>14199991.249999996</v>
      </c>
    </row>
    <row r="196" spans="1:3" x14ac:dyDescent="0.4">
      <c r="A196" s="2" t="str">
        <f ca="1"/>
        <v>Europe</v>
      </c>
      <c r="B196" s="2" t="str">
        <f ca="1"/>
        <v>Malta</v>
      </c>
      <c r="C196" s="20">
        <f ca="1"/>
        <v>14163744.550000001</v>
      </c>
    </row>
    <row r="197" spans="1:3" x14ac:dyDescent="0.4">
      <c r="A197" s="2" t="str">
        <f ca="1"/>
        <v>Sub-Saharan Africa</v>
      </c>
      <c r="B197" s="2" t="str">
        <f ca="1"/>
        <v>Mali</v>
      </c>
      <c r="C197" s="20">
        <f ca="1"/>
        <v>13800334.900000002</v>
      </c>
    </row>
    <row r="198" spans="1:3" x14ac:dyDescent="0.4">
      <c r="A198" s="2" t="str">
        <f ca="1"/>
        <v>Asia</v>
      </c>
      <c r="B198" s="2" t="str">
        <f ca="1"/>
        <v>Tajikistan</v>
      </c>
      <c r="C198" s="20">
        <f ca="1"/>
        <v>13662027.26</v>
      </c>
    </row>
  </sheetData>
  <mergeCells count="3">
    <mergeCell ref="E1:N5"/>
    <mergeCell ref="L8:N8"/>
    <mergeCell ref="L12:N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 Webber</dc:creator>
  <cp:lastModifiedBy>Russel Webber</cp:lastModifiedBy>
  <dcterms:created xsi:type="dcterms:W3CDTF">2025-08-28T14:51:32Z</dcterms:created>
  <dcterms:modified xsi:type="dcterms:W3CDTF">2025-08-28T15:39:18Z</dcterms:modified>
</cp:coreProperties>
</file>