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xlslim-code-samples\finance\"/>
    </mc:Choice>
  </mc:AlternateContent>
  <xr:revisionPtr revIDLastSave="0" documentId="13_ncr:1_{4422B79A-23D5-436C-B1EF-5956825E6031}" xr6:coauthVersionLast="47" xr6:coauthVersionMax="47" xr10:uidLastSave="{00000000-0000-0000-0000-000000000000}"/>
  <bookViews>
    <workbookView xWindow="-103" yWindow="-103" windowWidth="33120" windowHeight="18000" xr2:uid="{1F9E34EF-3639-48DF-83F2-59B063528AA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1" l="1" a="1"/>
  <c r="I26" i="1" s="1"/>
  <c r="I27" i="1" a="1"/>
  <c r="I27" i="1" s="1"/>
  <c r="I28" i="1" a="1"/>
  <c r="I28" i="1" s="1"/>
  <c r="I29" i="1" a="1"/>
  <c r="I29" i="1" s="1"/>
  <c r="I30" i="1" a="1"/>
  <c r="I30" i="1" s="1"/>
  <c r="I31" i="1" a="1"/>
  <c r="I31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J26" i="1" a="1"/>
  <c r="J26" i="1" s="1"/>
  <c r="K26" i="1" a="1"/>
  <c r="K26" i="1" s="1"/>
  <c r="L26" i="1" a="1"/>
  <c r="L26" i="1" s="1"/>
  <c r="M26" i="1" a="1"/>
  <c r="M26" i="1" s="1"/>
  <c r="N26" i="1" a="1"/>
  <c r="N26" i="1" s="1"/>
  <c r="J27" i="1" a="1"/>
  <c r="J27" i="1" s="1"/>
  <c r="K27" i="1" a="1"/>
  <c r="K27" i="1" s="1"/>
  <c r="L27" i="1" a="1"/>
  <c r="L27" i="1" s="1"/>
  <c r="M27" i="1" a="1"/>
  <c r="M27" i="1" s="1"/>
  <c r="N27" i="1" a="1"/>
  <c r="N27" i="1" s="1"/>
  <c r="J28" i="1" a="1"/>
  <c r="J28" i="1" s="1"/>
  <c r="K28" i="1" a="1"/>
  <c r="K28" i="1" s="1"/>
  <c r="L28" i="1" a="1"/>
  <c r="L28" i="1" s="1"/>
  <c r="M28" i="1" a="1"/>
  <c r="M28" i="1" s="1"/>
  <c r="N28" i="1" a="1"/>
  <c r="N28" i="1" s="1"/>
  <c r="J29" i="1" a="1"/>
  <c r="J29" i="1" s="1"/>
  <c r="K29" i="1" a="1"/>
  <c r="K29" i="1" s="1"/>
  <c r="L29" i="1" a="1"/>
  <c r="L29" i="1" s="1"/>
  <c r="M29" i="1" a="1"/>
  <c r="M29" i="1" s="1"/>
  <c r="N29" i="1" a="1"/>
  <c r="N29" i="1" s="1"/>
  <c r="J30" i="1" a="1"/>
  <c r="J30" i="1" s="1"/>
  <c r="K30" i="1" a="1"/>
  <c r="K30" i="1" s="1"/>
  <c r="L30" i="1" a="1"/>
  <c r="L30" i="1" s="1"/>
  <c r="M30" i="1" a="1"/>
  <c r="M30" i="1" s="1"/>
  <c r="N30" i="1" a="1"/>
  <c r="N30" i="1" s="1"/>
  <c r="J31" i="1" a="1"/>
  <c r="J31" i="1" s="1"/>
  <c r="K31" i="1" a="1"/>
  <c r="K31" i="1" s="1"/>
  <c r="L31" i="1" a="1"/>
  <c r="L31" i="1" s="1"/>
  <c r="M31" i="1" a="1"/>
  <c r="M31" i="1" s="1"/>
  <c r="N31" i="1" a="1"/>
  <c r="N31" i="1" s="1"/>
  <c r="E16" i="1"/>
  <c r="D16" i="1"/>
  <c r="G23" i="1"/>
  <c r="G24" i="1"/>
  <c r="G25" i="1"/>
  <c r="G26" i="1"/>
  <c r="G27" i="1"/>
  <c r="G28" i="1"/>
  <c r="G29" i="1"/>
  <c r="G30" i="1"/>
  <c r="G31" i="1"/>
  <c r="G22" i="1"/>
  <c r="D18" i="1"/>
  <c r="E18" i="1"/>
  <c r="E17" i="1"/>
  <c r="D17" i="1"/>
  <c r="A80" i="1"/>
  <c r="G61" i="1"/>
  <c r="A61" i="1"/>
  <c r="C18" i="1"/>
  <c r="C17" i="1"/>
  <c r="H23" i="1" a="1"/>
  <c r="H24" i="1" a="1"/>
  <c r="H25" i="1" a="1"/>
  <c r="B3" i="1" a="1"/>
  <c r="B1" i="1" a="1"/>
  <c r="H22" i="1" a="1"/>
  <c r="H25" i="1" l="1"/>
  <c r="H24" i="1"/>
  <c r="H23" i="1"/>
  <c r="B3" i="1"/>
  <c r="H22" i="1"/>
  <c r="B1" i="1"/>
  <c r="B2" i="1" s="1"/>
  <c r="H32" i="1" l="1" a="1"/>
  <c r="H32" i="1" s="1"/>
  <c r="I32" i="1" a="1"/>
  <c r="I32" i="1" s="1"/>
  <c r="B17" i="1"/>
  <c r="B18" i="1"/>
  <c r="K9" i="1" a="1"/>
  <c r="F18" i="1" a="1"/>
  <c r="F17" i="1" a="1"/>
  <c r="F17" i="1" l="1"/>
  <c r="F18" i="1"/>
  <c r="K9" i="1"/>
  <c r="I24" i="1" a="1"/>
  <c r="I25" i="1" a="1"/>
  <c r="I23" i="1" a="1"/>
  <c r="A33" i="1" a="1"/>
  <c r="I22" i="1" a="1"/>
  <c r="I23" i="1" l="1"/>
  <c r="I25" i="1"/>
  <c r="I24" i="1"/>
  <c r="A33" i="1"/>
  <c r="I22" i="1"/>
  <c r="J25" i="1" a="1"/>
  <c r="K25" i="1" a="1"/>
  <c r="N25" i="1" a="1"/>
  <c r="L25" i="1" a="1"/>
  <c r="M25" i="1" a="1"/>
  <c r="M24" i="1" a="1"/>
  <c r="N24" i="1" a="1"/>
  <c r="L24" i="1" a="1"/>
  <c r="J24" i="1" a="1"/>
  <c r="K24" i="1" a="1"/>
  <c r="N23" i="1" a="1"/>
  <c r="M23" i="1" a="1"/>
  <c r="L23" i="1" a="1"/>
  <c r="K23" i="1" a="1"/>
  <c r="J23" i="1" a="1"/>
  <c r="J22" i="1" a="1"/>
  <c r="N22" i="1" a="1"/>
  <c r="M22" i="1" a="1"/>
  <c r="L22" i="1" a="1"/>
  <c r="K22" i="1" a="1"/>
  <c r="B33" i="1" a="1"/>
  <c r="K24" i="1" l="1"/>
  <c r="J24" i="1"/>
  <c r="L24" i="1"/>
  <c r="N24" i="1"/>
  <c r="M24" i="1"/>
  <c r="M25" i="1"/>
  <c r="L25" i="1"/>
  <c r="N25" i="1"/>
  <c r="K25" i="1"/>
  <c r="J25" i="1"/>
  <c r="J23" i="1"/>
  <c r="K23" i="1"/>
  <c r="L23" i="1"/>
  <c r="M23" i="1"/>
  <c r="N23" i="1"/>
  <c r="K22" i="1"/>
  <c r="L22" i="1"/>
  <c r="M22" i="1"/>
  <c r="N22" i="1"/>
  <c r="J22" i="1"/>
  <c r="B33" i="1"/>
  <c r="N33" i="1" a="1"/>
  <c r="K33" i="1" a="1"/>
  <c r="M33" i="1" a="1"/>
  <c r="L33" i="1" a="1"/>
  <c r="J33" i="1" a="1"/>
  <c r="K33" i="1" l="1"/>
  <c r="M33" i="1"/>
  <c r="L33" i="1"/>
  <c r="N33" i="1"/>
  <c r="J33" i="1"/>
  <c r="B38" i="1" s="1" a="1"/>
  <c r="B38" i="1" s="1"/>
  <c r="M32" i="1"/>
  <c r="L32" i="1"/>
  <c r="K32" i="1"/>
  <c r="N32" i="1"/>
  <c r="J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<sst xmlns="http://schemas.openxmlformats.org/spreadsheetml/2006/main" count="67" uniqueCount="42">
  <si>
    <t>SPX</t>
  </si>
  <si>
    <t>Vols</t>
  </si>
  <si>
    <t>VanillaEuropeanOption</t>
  </si>
  <si>
    <t>Models</t>
  </si>
  <si>
    <t>Underlying</t>
  </si>
  <si>
    <t>Expiry</t>
  </si>
  <si>
    <t>Strike</t>
  </si>
  <si>
    <t>CALL/PUT</t>
  </si>
  <si>
    <t>Currency</t>
  </si>
  <si>
    <t>USD</t>
  </si>
  <si>
    <t>Market Data</t>
  </si>
  <si>
    <t>RTY</t>
  </si>
  <si>
    <t>Cost of Carry</t>
  </si>
  <si>
    <t>Spot</t>
  </si>
  <si>
    <t>Data Tweaks</t>
  </si>
  <si>
    <t>Tweaked Market Data</t>
  </si>
  <si>
    <t>Option Object</t>
  </si>
  <si>
    <t>Option Calc</t>
  </si>
  <si>
    <t>Asof</t>
  </si>
  <si>
    <t>Risk Free Rates</t>
  </si>
  <si>
    <t>pv</t>
  </si>
  <si>
    <t>delta</t>
  </si>
  <si>
    <t>gamma</t>
  </si>
  <si>
    <t>vega</t>
  </si>
  <si>
    <t>theta</t>
  </si>
  <si>
    <t>Portfolio Object</t>
  </si>
  <si>
    <t>Workbook location</t>
  </si>
  <si>
    <t>Python Module</t>
  </si>
  <si>
    <t>Register Python Module</t>
  </si>
  <si>
    <t>Tweak Spots in % terms</t>
  </si>
  <si>
    <t>Tweak Vols in vol units</t>
  </si>
  <si>
    <t>Option Portfolio</t>
  </si>
  <si>
    <t>Portfolio Calculator</t>
  </si>
  <si>
    <t>Portfolio Stress Testing</t>
  </si>
  <si>
    <t>Show line detail</t>
  </si>
  <si>
    <t>Risk Metric</t>
  </si>
  <si>
    <t>Tweaks to vols - tweaks are in vol units, the tweak amounted is added to the vol</t>
  </si>
  <si>
    <t>Tweaks to spots - tweaks are in %, the spot is multiplied by the tweak amount</t>
  </si>
  <si>
    <t>PUT</t>
  </si>
  <si>
    <t>Multiplier</t>
  </si>
  <si>
    <t>Contracts</t>
  </si>
  <si>
    <t>Nominal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</si>
</sst>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mmmyy"/>
    <numFmt numFmtId="166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5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 style="thin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ck">
        <color rgb="FF7F7F7F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43" fontId="0" fillId="0" borderId="0" xfId="1" applyFont="1"/>
    <xf numFmtId="0" fontId="4" fillId="4" borderId="0" xfId="4" applyFont="1"/>
    <xf numFmtId="0" fontId="3" fillId="3" borderId="1" xfId="3" applyAlignment="1">
      <alignment vertical="center"/>
    </xf>
    <xf numFmtId="0" fontId="3" fillId="3" borderId="1" xfId="3"/>
    <xf numFmtId="14" fontId="2" fillId="2" borderId="1" xfId="2" applyNumberFormat="1"/>
    <xf numFmtId="0" fontId="2" fillId="2" borderId="1" xfId="2"/>
    <xf numFmtId="9" fontId="2" fillId="2" borderId="1" xfId="2" applyNumberFormat="1"/>
    <xf numFmtId="164" fontId="2" fillId="2" borderId="1" xfId="2" applyNumberFormat="1"/>
    <xf numFmtId="164" fontId="3" fillId="3" borderId="1" xfId="3" applyNumberFormat="1"/>
    <xf numFmtId="0" fontId="2" fillId="2" borderId="1" xfId="2" applyAlignment="1">
      <alignment horizontal="left"/>
    </xf>
    <xf numFmtId="43" fontId="3" fillId="3" borderId="1" xfId="3" applyNumberFormat="1"/>
    <xf numFmtId="9" fontId="2" fillId="2" borderId="1" xfId="5" applyFont="1" applyFill="1" applyBorder="1"/>
    <xf numFmtId="0" fontId="4" fillId="4" borderId="0" xfId="4" applyFont="1" applyAlignment="1">
      <alignment horizontal="center" vertical="center" wrapText="1"/>
    </xf>
    <xf numFmtId="0" fontId="4" fillId="4" borderId="0" xfId="4" applyFont="1" applyAlignment="1">
      <alignment horizontal="right"/>
    </xf>
    <xf numFmtId="0" fontId="4" fillId="4" borderId="4" xfId="4" applyFont="1" applyBorder="1" applyAlignment="1">
      <alignment horizontal="right"/>
    </xf>
    <xf numFmtId="166" fontId="2" fillId="2" borderId="1" xfId="1" applyNumberFormat="1" applyFont="1" applyFill="1" applyBorder="1"/>
    <xf numFmtId="43" fontId="0" fillId="0" borderId="0" xfId="0" applyNumberFormat="1"/>
    <xf numFmtId="3" fontId="2" fillId="2" borderId="1" xfId="2" applyNumberFormat="1"/>
    <xf numFmtId="10" fontId="2" fillId="2" borderId="1" xfId="5" applyNumberFormat="1" applyFont="1" applyFill="1" applyBorder="1"/>
    <xf numFmtId="166" fontId="3" fillId="3" borderId="1" xfId="1" applyNumberFormat="1" applyFont="1" applyFill="1" applyBorder="1"/>
    <xf numFmtId="166" fontId="3" fillId="3" borderId="7" xfId="1" applyNumberFormat="1" applyFont="1" applyFill="1" applyBorder="1"/>
    <xf numFmtId="166" fontId="3" fillId="3" borderId="6" xfId="1" applyNumberFormat="1" applyFont="1" applyFill="1" applyBorder="1"/>
    <xf numFmtId="166" fontId="3" fillId="3" borderId="10" xfId="1" applyNumberFormat="1" applyFont="1" applyFill="1" applyBorder="1"/>
    <xf numFmtId="166" fontId="3" fillId="3" borderId="3" xfId="1" applyNumberFormat="1" applyFont="1" applyFill="1" applyBorder="1"/>
    <xf numFmtId="166" fontId="3" fillId="3" borderId="8" xfId="1" applyNumberFormat="1" applyFont="1" applyFill="1" applyBorder="1"/>
    <xf numFmtId="166" fontId="3" fillId="3" borderId="13" xfId="1" applyNumberFormat="1" applyFont="1" applyFill="1" applyBorder="1"/>
    <xf numFmtId="166" fontId="3" fillId="3" borderId="11" xfId="1" applyNumberFormat="1" applyFont="1" applyFill="1" applyBorder="1"/>
    <xf numFmtId="166" fontId="3" fillId="3" borderId="15" xfId="1" applyNumberFormat="1" applyFont="1" applyFill="1" applyBorder="1"/>
    <xf numFmtId="166" fontId="3" fillId="3" borderId="16" xfId="1" applyNumberFormat="1" applyFont="1" applyFill="1" applyBorder="1"/>
    <xf numFmtId="166" fontId="3" fillId="3" borderId="17" xfId="1" applyNumberFormat="1" applyFont="1" applyFill="1" applyBorder="1"/>
    <xf numFmtId="166" fontId="3" fillId="3" borderId="18" xfId="1" applyNumberFormat="1" applyFont="1" applyFill="1" applyBorder="1"/>
    <xf numFmtId="166" fontId="3" fillId="3" borderId="5" xfId="1" applyNumberFormat="1" applyFont="1" applyFill="1" applyBorder="1"/>
    <xf numFmtId="166" fontId="3" fillId="3" borderId="9" xfId="1" applyNumberFormat="1" applyFont="1" applyFill="1" applyBorder="1"/>
    <xf numFmtId="166" fontId="3" fillId="3" borderId="14" xfId="1" applyNumberFormat="1" applyFont="1" applyFill="1" applyBorder="1"/>
    <xf numFmtId="166" fontId="3" fillId="3" borderId="12" xfId="1" applyNumberFormat="1" applyFont="1" applyFill="1" applyBorder="1"/>
    <xf numFmtId="166" fontId="3" fillId="3" borderId="2" xfId="1" applyNumberFormat="1" applyFont="1" applyFill="1" applyBorder="1"/>
    <xf numFmtId="10" fontId="3" fillId="3" borderId="1" xfId="5" applyNumberFormat="1" applyFont="1" applyFill="1" applyBorder="1"/>
  </cellXfs>
  <cellStyles count="6">
    <cellStyle name="40% - Accent5" xfId="4" builtinId="47"/>
    <cellStyle name="Calculation" xfId="3" builtinId="22"/>
    <cellStyle name="Comma" xfId="1" builtinId="3"/>
    <cellStyle name="Input" xfId="2" builtinId="20"/>
    <cellStyle name="Normal" xfId="0" builtinId="0"/>
    <cellStyle name="Percent" xfId="5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Sheet1!$A$61</c:f>
              <c:strCache>
                <c:ptCount val="1"/>
                <c:pt idx="0">
                  <c:v>pv wrt spot tweaks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Sheet1!$B$39:$B$59</c:f>
              <c:numCache>
                <c:formatCode>0%</c:formatCode>
                <c:ptCount val="21"/>
                <c:pt idx="0">
                  <c:v>0.9</c:v>
                </c:pt>
                <c:pt idx="1">
                  <c:v>0.91</c:v>
                </c:pt>
                <c:pt idx="2">
                  <c:v>0.92</c:v>
                </c:pt>
                <c:pt idx="3">
                  <c:v>0.93</c:v>
                </c:pt>
                <c:pt idx="4">
                  <c:v>0.94</c:v>
                </c:pt>
                <c:pt idx="5">
                  <c:v>0.95</c:v>
                </c:pt>
                <c:pt idx="6">
                  <c:v>0.96</c:v>
                </c:pt>
                <c:pt idx="7">
                  <c:v>0.97</c:v>
                </c:pt>
                <c:pt idx="8">
                  <c:v>0.98</c:v>
                </c:pt>
                <c:pt idx="9">
                  <c:v>0.99</c:v>
                </c:pt>
                <c:pt idx="10">
                  <c:v>1</c:v>
                </c:pt>
                <c:pt idx="11">
                  <c:v>1.01</c:v>
                </c:pt>
                <c:pt idx="12">
                  <c:v>1.02</c:v>
                </c:pt>
                <c:pt idx="13">
                  <c:v>1.03</c:v>
                </c:pt>
                <c:pt idx="14">
                  <c:v>1.04</c:v>
                </c:pt>
                <c:pt idx="15">
                  <c:v>1.05</c:v>
                </c:pt>
                <c:pt idx="16">
                  <c:v>1.06</c:v>
                </c:pt>
                <c:pt idx="17">
                  <c:v>1.07</c:v>
                </c:pt>
                <c:pt idx="18">
                  <c:v>1.08</c:v>
                </c:pt>
                <c:pt idx="19">
                  <c:v>1.0900000000000001</c:v>
                </c:pt>
                <c:pt idx="20">
                  <c:v>1.1000000000000001</c:v>
                </c:pt>
              </c:numCache>
            </c:numRef>
          </c:cat>
          <c:val>
            <c:numRef>
              <c:f>Sheet1!$M$39:$M$59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B-4A3A-AAC3-52BF1E36F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1432768"/>
        <c:axId val="991431520"/>
      </c:lineChart>
      <c:catAx>
        <c:axId val="99143276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431520"/>
        <c:crosses val="autoZero"/>
        <c:auto val="1"/>
        <c:lblAlgn val="ctr"/>
        <c:lblOffset val="100"/>
        <c:noMultiLvlLbl val="0"/>
      </c:catAx>
      <c:valAx>
        <c:axId val="99143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43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Sheet1!$G$61</c:f>
              <c:strCache>
                <c:ptCount val="1"/>
                <c:pt idx="0">
                  <c:v>pv wrt vol tweaks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Sheet1!$C$49:$W$49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87-4ECE-9D6A-1EC3CA2BF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1432768"/>
        <c:axId val="991431520"/>
      </c:lineChart>
      <c:catAx>
        <c:axId val="99143276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431520"/>
        <c:crosses val="autoZero"/>
        <c:auto val="1"/>
        <c:lblAlgn val="ctr"/>
        <c:lblOffset val="100"/>
        <c:noMultiLvlLbl val="0"/>
      </c:catAx>
      <c:valAx>
        <c:axId val="99143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43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Sheet1!$A$80</c:f>
          <c:strCache>
            <c:ptCount val="1"/>
            <c:pt idx="0">
              <c:v>pv wrt spot and vol tweaks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40"/>
      <c:depthPercent val="100"/>
      <c:rAngAx val="0"/>
      <c:perspective val="7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Sheet1!$B$39</c:f>
              <c:strCache>
                <c:ptCount val="1"/>
                <c:pt idx="0">
                  <c:v>90%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Sheet1!$C$39:$W$39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4D-4942-93E9-2A0050A6379C}"/>
            </c:ext>
          </c:extLst>
        </c:ser>
        <c:ser>
          <c:idx val="1"/>
          <c:order val="1"/>
          <c:tx>
            <c:strRef>
              <c:f>Sheet1!$B$40</c:f>
              <c:strCache>
                <c:ptCount val="1"/>
                <c:pt idx="0">
                  <c:v>91%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Sheet1!$C$40:$W$40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4D-4942-93E9-2A0050A6379C}"/>
            </c:ext>
          </c:extLst>
        </c:ser>
        <c:ser>
          <c:idx val="2"/>
          <c:order val="2"/>
          <c:tx>
            <c:strRef>
              <c:f>Sheet1!$B$41</c:f>
              <c:strCache>
                <c:ptCount val="1"/>
                <c:pt idx="0">
                  <c:v>92%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Sheet1!$C$41:$W$41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D-4942-93E9-2A0050A6379C}"/>
            </c:ext>
          </c:extLst>
        </c:ser>
        <c:ser>
          <c:idx val="3"/>
          <c:order val="3"/>
          <c:tx>
            <c:strRef>
              <c:f>Sheet1!$B$42</c:f>
              <c:strCache>
                <c:ptCount val="1"/>
                <c:pt idx="0">
                  <c:v>93%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Sheet1!$C$42:$W$42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4D-4942-93E9-2A0050A6379C}"/>
            </c:ext>
          </c:extLst>
        </c:ser>
        <c:ser>
          <c:idx val="4"/>
          <c:order val="4"/>
          <c:tx>
            <c:strRef>
              <c:f>Sheet1!$B$43</c:f>
              <c:strCache>
                <c:ptCount val="1"/>
                <c:pt idx="0">
                  <c:v>94%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Sheet1!$C$43:$W$43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4D-4942-93E9-2A0050A6379C}"/>
            </c:ext>
          </c:extLst>
        </c:ser>
        <c:ser>
          <c:idx val="5"/>
          <c:order val="5"/>
          <c:tx>
            <c:strRef>
              <c:f>Sheet1!$B$44</c:f>
              <c:strCache>
                <c:ptCount val="1"/>
                <c:pt idx="0">
                  <c:v>95%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Sheet1!$C$44:$W$44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4D-4942-93E9-2A0050A6379C}"/>
            </c:ext>
          </c:extLst>
        </c:ser>
        <c:ser>
          <c:idx val="6"/>
          <c:order val="6"/>
          <c:tx>
            <c:strRef>
              <c:f>Sheet1!$B$45</c:f>
              <c:strCache>
                <c:ptCount val="1"/>
                <c:pt idx="0">
                  <c:v>96%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Sheet1!$C$45:$W$45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4D-4942-93E9-2A0050A6379C}"/>
            </c:ext>
          </c:extLst>
        </c:ser>
        <c:ser>
          <c:idx val="7"/>
          <c:order val="7"/>
          <c:tx>
            <c:strRef>
              <c:f>Sheet1!$B$46</c:f>
              <c:strCache>
                <c:ptCount val="1"/>
                <c:pt idx="0">
                  <c:v>97%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Sheet1!$C$46:$W$46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4D-4942-93E9-2A0050A6379C}"/>
            </c:ext>
          </c:extLst>
        </c:ser>
        <c:ser>
          <c:idx val="8"/>
          <c:order val="8"/>
          <c:tx>
            <c:strRef>
              <c:f>Sheet1!$B$47</c:f>
              <c:strCache>
                <c:ptCount val="1"/>
                <c:pt idx="0">
                  <c:v>98%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Sheet1!$C$47:$W$47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4D-4942-93E9-2A0050A6379C}"/>
            </c:ext>
          </c:extLst>
        </c:ser>
        <c:ser>
          <c:idx val="9"/>
          <c:order val="9"/>
          <c:tx>
            <c:strRef>
              <c:f>Sheet1!$B$48</c:f>
              <c:strCache>
                <c:ptCount val="1"/>
                <c:pt idx="0">
                  <c:v>99%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Sheet1!$C$48:$W$48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4D-4942-93E9-2A0050A6379C}"/>
            </c:ext>
          </c:extLst>
        </c:ser>
        <c:ser>
          <c:idx val="10"/>
          <c:order val="10"/>
          <c:tx>
            <c:strRef>
              <c:f>Sheet1!$B$49</c:f>
              <c:strCache>
                <c:ptCount val="1"/>
                <c:pt idx="0">
                  <c:v>100%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Sheet1!$C$49:$W$49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4D-4942-93E9-2A0050A6379C}"/>
            </c:ext>
          </c:extLst>
        </c:ser>
        <c:ser>
          <c:idx val="11"/>
          <c:order val="11"/>
          <c:tx>
            <c:strRef>
              <c:f>Sheet1!$B$50</c:f>
              <c:strCache>
                <c:ptCount val="1"/>
                <c:pt idx="0">
                  <c:v>101%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Sheet1!$C$50:$W$50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4D-4942-93E9-2A0050A6379C}"/>
            </c:ext>
          </c:extLst>
        </c:ser>
        <c:ser>
          <c:idx val="12"/>
          <c:order val="12"/>
          <c:tx>
            <c:strRef>
              <c:f>Sheet1!$B$51</c:f>
              <c:strCache>
                <c:ptCount val="1"/>
                <c:pt idx="0">
                  <c:v>102%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Sheet1!$C$51:$W$51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4D-4942-93E9-2A0050A6379C}"/>
            </c:ext>
          </c:extLst>
        </c:ser>
        <c:ser>
          <c:idx val="13"/>
          <c:order val="13"/>
          <c:tx>
            <c:strRef>
              <c:f>Sheet1!$B$52</c:f>
              <c:strCache>
                <c:ptCount val="1"/>
                <c:pt idx="0">
                  <c:v>103%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Sheet1!$C$52:$W$52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4D-4942-93E9-2A0050A6379C}"/>
            </c:ext>
          </c:extLst>
        </c:ser>
        <c:ser>
          <c:idx val="14"/>
          <c:order val="14"/>
          <c:tx>
            <c:strRef>
              <c:f>Sheet1!$B$53</c:f>
              <c:strCache>
                <c:ptCount val="1"/>
                <c:pt idx="0">
                  <c:v>104%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Sheet1!$C$53:$W$53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4D-4942-93E9-2A0050A6379C}"/>
            </c:ext>
          </c:extLst>
        </c:ser>
        <c:ser>
          <c:idx val="15"/>
          <c:order val="15"/>
          <c:tx>
            <c:strRef>
              <c:f>Sheet1!$B$54</c:f>
              <c:strCache>
                <c:ptCount val="1"/>
                <c:pt idx="0">
                  <c:v>105%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5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Sheet1!$C$54:$W$54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4D-4942-93E9-2A0050A6379C}"/>
            </c:ext>
          </c:extLst>
        </c:ser>
        <c:ser>
          <c:idx val="16"/>
          <c:order val="16"/>
          <c:tx>
            <c:strRef>
              <c:f>Sheet1!$B$55</c:f>
              <c:strCache>
                <c:ptCount val="1"/>
                <c:pt idx="0">
                  <c:v>106%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5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Sheet1!$C$55:$W$55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4D-4942-93E9-2A0050A6379C}"/>
            </c:ext>
          </c:extLst>
        </c:ser>
        <c:ser>
          <c:idx val="17"/>
          <c:order val="17"/>
          <c:tx>
            <c:strRef>
              <c:f>Sheet1!$B$56</c:f>
              <c:strCache>
                <c:ptCount val="1"/>
                <c:pt idx="0">
                  <c:v>107%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5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Sheet1!$C$56:$W$56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4D-4942-93E9-2A0050A6379C}"/>
            </c:ext>
          </c:extLst>
        </c:ser>
        <c:ser>
          <c:idx val="18"/>
          <c:order val="18"/>
          <c:tx>
            <c:strRef>
              <c:f>Sheet1!$B$57</c:f>
              <c:strCache>
                <c:ptCount val="1"/>
                <c:pt idx="0">
                  <c:v>108%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Sheet1!$C$57:$W$57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4D-4942-93E9-2A0050A6379C}"/>
            </c:ext>
          </c:extLst>
        </c:ser>
        <c:ser>
          <c:idx val="19"/>
          <c:order val="19"/>
          <c:tx>
            <c:strRef>
              <c:f>Sheet1!$B$58</c:f>
              <c:strCache>
                <c:ptCount val="1"/>
                <c:pt idx="0">
                  <c:v>109%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Sheet1!$C$58:$W$58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4D-4942-93E9-2A0050A6379C}"/>
            </c:ext>
          </c:extLst>
        </c:ser>
        <c:ser>
          <c:idx val="20"/>
          <c:order val="20"/>
          <c:tx>
            <c:strRef>
              <c:f>Sheet1!$B$59</c:f>
              <c:strCache>
                <c:ptCount val="1"/>
                <c:pt idx="0">
                  <c:v>110%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Sheet1!$C$38:$W$38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-3.9999999999999897E-2</c:v>
                </c:pt>
                <c:pt idx="7">
                  <c:v>-2.9999999999999898E-2</c:v>
                </c:pt>
                <c:pt idx="8">
                  <c:v>-1.99999999999999E-2</c:v>
                </c:pt>
                <c:pt idx="9">
                  <c:v>-9.99999999999991E-3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cat>
          <c:val>
            <c:numRef>
              <c:f>Sheet1!$C$59:$W$59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4D-4942-93E9-2A0050A6379C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3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8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8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Off val="4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lumOff val="4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lumOff val="4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Off val="4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lumOff val="4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lumOff val="4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Off val="4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lumOff val="4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lumOff val="40000"/>
                    <a:shade val="95000"/>
                  </a:schemeClr>
                </a:contourClr>
              </a:sp3d>
            </c:spPr>
          </c:bandFmt>
        </c:bandFmts>
        <c:axId val="1586436896"/>
        <c:axId val="1586437312"/>
        <c:axId val="44974368"/>
      </c:surface3DChart>
      <c:catAx>
        <c:axId val="1586436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 tweaks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437312"/>
        <c:crosses val="autoZero"/>
        <c:auto val="1"/>
        <c:lblAlgn val="ctr"/>
        <c:lblOffset val="100"/>
        <c:noMultiLvlLbl val="0"/>
      </c:catAx>
      <c:valAx>
        <c:axId val="158643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436896"/>
        <c:crosses val="autoZero"/>
        <c:crossBetween val="midCat"/>
      </c:valAx>
      <c:serAx>
        <c:axId val="449743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 tweaks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4373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13606</xdr:colOff>
      <xdr:row>59</xdr:row>
      <xdr:rowOff>89807</xdr:rowOff>
    </xdr:from>
    <xdr:to>
      <xdr:col>4</xdr:col>
      <xdr:colOff>585106</xdr:colOff>
      <xdr:row>74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B52F0E-EE86-367B-8104-4FCF6066DD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620485</xdr:colOff>
      <xdr:row>59</xdr:row>
      <xdr:rowOff>97971</xdr:rowOff>
    </xdr:from>
    <xdr:to>
      <xdr:col>10</xdr:col>
      <xdr:colOff>653142</xdr:colOff>
      <xdr:row>74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716B06-BD8D-44DC-A1CE-53324083B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19049</xdr:colOff>
      <xdr:row>74</xdr:row>
      <xdr:rowOff>100691</xdr:rowOff>
    </xdr:from>
    <xdr:to>
      <xdr:col>11</xdr:col>
      <xdr:colOff>21770</xdr:colOff>
      <xdr:row>98</xdr:row>
      <xdr:rowOff>16327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86B725-33E1-7F06-3B83-918EF7B5B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5637F-8442-4E18-A026-97FE64F9D85B}">
  <sheetPr codeName="Sheet1"/>
  <dimension ref="A1:W80"/>
  <sheetViews>
    <sheetView tabSelected="1" workbookViewId="0">
      <selection activeCell="G13" sqref="G13"/>
    </sheetView>
  </sheetViews>
  <sheetFormatPr defaultRowHeight="14.6" x14ac:dyDescent="0.4"/>
  <cols>
    <col min="1" max="1" width="24.4609375" customWidth="1"/>
    <col min="2" max="23" width="10.69140625" customWidth="1"/>
  </cols>
  <sheetData>
    <row r="1" spans="1:14" x14ac:dyDescent="0.4">
      <c r="A1" s="3" t="s">
        <v>26</v>
      </c>
      <c r="B1" s="4" t="str" cm="1">
        <f t="array" ref="B1">_xll.WorkbookLocation()</f>
        <v>D:\github\xlslim-code-samples\finance</v>
      </c>
    </row>
    <row r="2" spans="1:14" x14ac:dyDescent="0.4">
      <c r="A2" s="3" t="s">
        <v>27</v>
      </c>
      <c r="B2" s="4" t="str">
        <f>B1&amp;"\bs_optionpricing.py"</f>
        <v>D:\github\xlslim-code-samples\finance\bs_optionpricing.py</v>
      </c>
    </row>
    <row r="3" spans="1:14" x14ac:dyDescent="0.4">
      <c r="A3" s="3" t="s">
        <v>28</v>
      </c>
      <c r="B3" s="5" t="str" cm="1">
        <f t="array" ref="B3">_xll.RegisterPyModule(B2)</f>
        <v>Registered D:\github\xlslim-code-samples\finance\bs_optionpricing.py</v>
      </c>
    </row>
    <row r="5" spans="1:14" x14ac:dyDescent="0.4">
      <c r="A5" s="3" t="s">
        <v>18</v>
      </c>
      <c r="B5" s="6">
        <v>44841</v>
      </c>
    </row>
    <row r="6" spans="1:14" x14ac:dyDescent="0.4">
      <c r="B6" s="1"/>
    </row>
    <row r="7" spans="1:14" x14ac:dyDescent="0.4">
      <c r="A7" s="3" t="s">
        <v>10</v>
      </c>
      <c r="B7" s="3"/>
      <c r="C7" s="3"/>
      <c r="D7" s="3" t="s">
        <v>1</v>
      </c>
    </row>
    <row r="8" spans="1:14" x14ac:dyDescent="0.4">
      <c r="A8" s="3"/>
      <c r="B8" s="3" t="s">
        <v>13</v>
      </c>
      <c r="C8" s="3" t="s">
        <v>12</v>
      </c>
      <c r="D8" s="9">
        <v>44911</v>
      </c>
      <c r="E8" s="9">
        <v>45002</v>
      </c>
      <c r="G8" s="3" t="s">
        <v>19</v>
      </c>
      <c r="J8" s="3" t="s">
        <v>3</v>
      </c>
      <c r="M8" s="3" t="s">
        <v>39</v>
      </c>
    </row>
    <row r="9" spans="1:14" x14ac:dyDescent="0.4">
      <c r="A9" s="7" t="s">
        <v>0</v>
      </c>
      <c r="B9" s="7">
        <v>3745.56</v>
      </c>
      <c r="C9" s="20">
        <v>0.02</v>
      </c>
      <c r="D9" s="20">
        <v>0.26669999999999999</v>
      </c>
      <c r="E9" s="20">
        <v>0.26219999999999999</v>
      </c>
      <c r="G9" s="7" t="s">
        <v>9</v>
      </c>
      <c r="H9" s="20">
        <v>0.03</v>
      </c>
      <c r="J9" s="7" t="s">
        <v>2</v>
      </c>
      <c r="K9" s="7" t="str" cm="1">
        <f t="array" ref="K9">_xll.get_bsm_option_calculator()</f>
        <v>[bs_optionpricing.xlsm]Sheet1$K$9@6</v>
      </c>
      <c r="M9" s="7" t="s">
        <v>0</v>
      </c>
      <c r="N9" s="19">
        <v>100</v>
      </c>
    </row>
    <row r="10" spans="1:14" x14ac:dyDescent="0.4">
      <c r="A10" s="7" t="s">
        <v>11</v>
      </c>
      <c r="B10" s="7">
        <v>1757.77</v>
      </c>
      <c r="C10" s="20">
        <v>0.02</v>
      </c>
      <c r="D10" s="20">
        <v>0.30580000000000002</v>
      </c>
      <c r="E10" s="20">
        <v>0.29859999999999998</v>
      </c>
      <c r="M10" s="7" t="s">
        <v>11</v>
      </c>
      <c r="N10" s="19">
        <v>100</v>
      </c>
    </row>
    <row r="12" spans="1:14" x14ac:dyDescent="0.4">
      <c r="A12" s="3" t="s">
        <v>14</v>
      </c>
    </row>
    <row r="13" spans="1:14" x14ac:dyDescent="0.4">
      <c r="A13" s="3" t="s">
        <v>29</v>
      </c>
      <c r="B13" s="8">
        <v>1</v>
      </c>
      <c r="C13" s="3" t="s">
        <v>30</v>
      </c>
      <c r="D13" s="8">
        <v>0</v>
      </c>
    </row>
    <row r="15" spans="1:14" x14ac:dyDescent="0.4">
      <c r="A15" s="3" t="s">
        <v>15</v>
      </c>
      <c r="B15" s="3"/>
      <c r="C15" s="3"/>
      <c r="D15" s="3" t="s">
        <v>1</v>
      </c>
    </row>
    <row r="16" spans="1:14" x14ac:dyDescent="0.4">
      <c r="A16" s="3"/>
      <c r="B16" s="3" t="s">
        <v>13</v>
      </c>
      <c r="C16" s="3" t="s">
        <v>12</v>
      </c>
      <c r="D16" s="10">
        <f>D8</f>
        <v>44911</v>
      </c>
      <c r="E16" s="10">
        <f>E8</f>
        <v>45002</v>
      </c>
    </row>
    <row r="17" spans="1:14" x14ac:dyDescent="0.4">
      <c r="A17" s="5" t="s">
        <v>0</v>
      </c>
      <c r="B17" s="5">
        <f>B9*$B$13</f>
        <v>3745.56</v>
      </c>
      <c r="C17" s="38">
        <f>C9</f>
        <v>0.02</v>
      </c>
      <c r="D17" s="38">
        <f>MAX(D9+$D$13,0)</f>
        <v>0.26669999999999999</v>
      </c>
      <c r="E17" s="38">
        <f>MAX(E9+$D$13,0)</f>
        <v>0.26219999999999999</v>
      </c>
      <c r="F17" s="5" t="str" cm="1">
        <f t="array" ref="F17">_xll.VolatilityCurve(D$16:E$16,D17:E17)</f>
        <v>[bs_optionpricing.xlsm]Sheet1$F$17@44657</v>
      </c>
      <c r="K17" s="18"/>
      <c r="L17" s="18"/>
    </row>
    <row r="18" spans="1:14" x14ac:dyDescent="0.4">
      <c r="A18" s="5" t="s">
        <v>11</v>
      </c>
      <c r="B18" s="5">
        <f>B10*$B$13</f>
        <v>1757.77</v>
      </c>
      <c r="C18" s="38">
        <f>C10</f>
        <v>0.02</v>
      </c>
      <c r="D18" s="38">
        <f>MAX(D10+$D$13,0)</f>
        <v>0.30580000000000002</v>
      </c>
      <c r="E18" s="38">
        <f>MAX(E10+$D$13,0)</f>
        <v>0.29859999999999998</v>
      </c>
      <c r="F18" s="5" t="str" cm="1">
        <f t="array" ref="F18">_xll.VolatilityCurve(D$16:E$16,D18:E18)</f>
        <v>[bs_optionpricing.xlsm]Sheet1$F$18@44658</v>
      </c>
    </row>
    <row r="20" spans="1:14" x14ac:dyDescent="0.4">
      <c r="A20" s="3" t="s">
        <v>31</v>
      </c>
      <c r="B20" s="3"/>
      <c r="C20" s="3"/>
      <c r="D20" s="3"/>
      <c r="E20" s="3"/>
      <c r="F20" s="15" t="s">
        <v>34</v>
      </c>
      <c r="G20" s="16"/>
      <c r="H20" s="7" t="b">
        <v>0</v>
      </c>
      <c r="I20" s="3"/>
      <c r="J20" s="3"/>
      <c r="K20" s="3"/>
      <c r="L20" s="3"/>
      <c r="M20" s="3"/>
    </row>
    <row r="21" spans="1:14" x14ac:dyDescent="0.4">
      <c r="A21" s="3" t="s">
        <v>4</v>
      </c>
      <c r="B21" s="3" t="s">
        <v>40</v>
      </c>
      <c r="C21" s="3" t="s">
        <v>5</v>
      </c>
      <c r="D21" s="3" t="s">
        <v>6</v>
      </c>
      <c r="E21" s="3" t="s">
        <v>7</v>
      </c>
      <c r="F21" s="3" t="s">
        <v>8</v>
      </c>
      <c r="G21" s="3" t="s">
        <v>41</v>
      </c>
      <c r="H21" s="3" t="s">
        <v>16</v>
      </c>
      <c r="I21" s="3" t="s">
        <v>17</v>
      </c>
      <c r="J21" s="3" t="s">
        <v>20</v>
      </c>
      <c r="K21" s="3" t="s">
        <v>21</v>
      </c>
      <c r="L21" s="3" t="s">
        <v>22</v>
      </c>
      <c r="M21" s="3" t="s">
        <v>23</v>
      </c>
      <c r="N21" s="3" t="s">
        <v>24</v>
      </c>
    </row>
    <row r="22" spans="1:14" x14ac:dyDescent="0.4">
      <c r="A22" s="7" t="s">
        <v>0</v>
      </c>
      <c r="B22" s="7">
        <v>1</v>
      </c>
      <c r="C22" s="9">
        <v>44911</v>
      </c>
      <c r="D22" s="7">
        <v>3650</v>
      </c>
      <c r="E22" s="7" t="s">
        <v>38</v>
      </c>
      <c r="F22" s="7" t="s">
        <v>9</v>
      </c>
      <c r="G22" s="17">
        <f>IF(ISNUMBER(B22),B22*VLOOKUP(A22,$M$9:$N$10,2,FALSE),0)</f>
        <v>100</v>
      </c>
      <c r="H22" s="5" t="str" cm="1">
        <f t="array" ref="H22">IF(ISNUMBER(B22),_xll.VanillaEuropeanOption(D22,C22,A22,E22,F22),"")</f>
        <v>[bs_optionpricing.xlsm]Sheet1$H$22@1787</v>
      </c>
      <c r="I22" s="5" t="str" cm="1">
        <f t="array" ref="I22">IF(AND($H$20, ISNUMBER(B22)),_xll.bsm_option_calculator(H22,VLOOKUP(A22,$A$17:$B$18,2,FALSE),$B$5,VLOOKUP(F22,$G$9:$H$9,2,FALSE),VLOOKUP(A22,$A$17:C$18,3,FALSE),VLOOKUP(A22,$A$17:$F$18,6,FALSE)),"")</f>
        <v/>
      </c>
      <c r="J22" s="21" t="str" cm="1">
        <f t="array" ref="J22">IF(AND($H$20,ISNUMBER($B22)),_xll.GetAttr($I22,J$21)*$G22,"")</f>
        <v/>
      </c>
      <c r="K22" s="21" t="str" cm="1">
        <f t="array" ref="K22">IF(AND($H$20,ISNUMBER($B22)),_xll.GetAttr($I22,K$21)*$G22,"")</f>
        <v/>
      </c>
      <c r="L22" s="21" t="str" cm="1">
        <f t="array" ref="L22">IF(AND($H$20,ISNUMBER($B22)),_xll.GetAttr($I22,L$21)*$G22,"")</f>
        <v/>
      </c>
      <c r="M22" s="21" t="str" cm="1">
        <f t="array" ref="M22">IF(AND($H$20,ISNUMBER($B22)),_xll.GetAttr($I22,M$21)*$G22,"")</f>
        <v/>
      </c>
      <c r="N22" s="21" t="str" cm="1">
        <f t="array" ref="N22">IF(AND($H$20,ISNUMBER($B22)),_xll.GetAttr($I22,N$21)*$G22,"")</f>
        <v/>
      </c>
    </row>
    <row r="23" spans="1:14" x14ac:dyDescent="0.4">
      <c r="A23" s="7" t="s">
        <v>0</v>
      </c>
      <c r="B23" s="7">
        <v>-1</v>
      </c>
      <c r="C23" s="9">
        <v>44911</v>
      </c>
      <c r="D23" s="7">
        <v>3700</v>
      </c>
      <c r="E23" s="7" t="s">
        <v>38</v>
      </c>
      <c r="F23" s="7" t="s">
        <v>9</v>
      </c>
      <c r="G23" s="17">
        <f t="shared" ref="G23:G31" si="0">IF(ISNUMBER(B23),B23*VLOOKUP(A23,$M$9:$N$10,2,FALSE),0)</f>
        <v>-100</v>
      </c>
      <c r="H23" s="5" t="str" cm="1">
        <f t="array" ref="H23">IF(ISNUMBER(B23),_xll.VanillaEuropeanOption(D23,C23,A23,E23,F23),"")</f>
        <v>[bs_optionpricing.xlsm]Sheet1$H$23@1792</v>
      </c>
      <c r="I23" s="5" t="str" cm="1">
        <f t="array" ref="I23">IF(AND($H$20, ISNUMBER(B23)),_xll.bsm_option_calculator(H23,VLOOKUP(A23,$A$17:$B$18,2,FALSE),$B$5,VLOOKUP(F23,$G$9:$H$9,2,FALSE),VLOOKUP(A23,$A$17:C$18,3,FALSE),VLOOKUP(A23,$A$17:$F$18,6,FALSE)),"")</f>
        <v/>
      </c>
      <c r="J23" s="21" t="str" cm="1">
        <f t="array" ref="J23">IF(AND($H$20,ISNUMBER($B23)),_xll.GetAttr($I23,J$21)*$G23,"")</f>
        <v/>
      </c>
      <c r="K23" s="21" t="str" cm="1">
        <f t="array" ref="K23">IF(AND($H$20,ISNUMBER($B23)),_xll.GetAttr($I23,K$21)*$G23,"")</f>
        <v/>
      </c>
      <c r="L23" s="21" t="str" cm="1">
        <f t="array" ref="L23">IF(AND($H$20,ISNUMBER($B23)),_xll.GetAttr($I23,L$21)*$G23,"")</f>
        <v/>
      </c>
      <c r="M23" s="21" t="str" cm="1">
        <f t="array" ref="M23">IF(AND($H$20,ISNUMBER($B23)),_xll.GetAttr($I23,M$21)*$G23,"")</f>
        <v/>
      </c>
      <c r="N23" s="21" t="str" cm="1">
        <f t="array" ref="N23">IF(AND($H$20,ISNUMBER($B23)),_xll.GetAttr($I23,N$21)*$G23,"")</f>
        <v/>
      </c>
    </row>
    <row r="24" spans="1:14" x14ac:dyDescent="0.4">
      <c r="A24" s="7" t="s">
        <v>0</v>
      </c>
      <c r="B24" s="7">
        <v>-1</v>
      </c>
      <c r="C24" s="9">
        <v>44911</v>
      </c>
      <c r="D24" s="7">
        <v>3750</v>
      </c>
      <c r="E24" s="7" t="s">
        <v>38</v>
      </c>
      <c r="F24" s="7" t="s">
        <v>9</v>
      </c>
      <c r="G24" s="17">
        <f t="shared" si="0"/>
        <v>-100</v>
      </c>
      <c r="H24" s="5" t="str" cm="1">
        <f t="array" ref="H24">IF(ISNUMBER(B24),_xll.VanillaEuropeanOption(D24,C24,A24,E24,F24),"")</f>
        <v>[bs_optionpricing.xlsm]Sheet1$H$24@3</v>
      </c>
      <c r="I24" s="5" t="str" cm="1">
        <f t="array" ref="I24">IF(AND($H$20, ISNUMBER(B24)),_xll.bsm_option_calculator(H24,VLOOKUP(A24,$A$17:$B$18,2,FALSE),$B$5,VLOOKUP(F24,$G$9:$H$9,2,FALSE),VLOOKUP(A24,$A$17:C$18,3,FALSE),VLOOKUP(A24,$A$17:$F$18,6,FALSE)),"")</f>
        <v/>
      </c>
      <c r="J24" s="21" t="str" cm="1">
        <f t="array" ref="J24">IF(AND($H$20,ISNUMBER($B24)),_xll.GetAttr($I24,J$21)*$G24,"")</f>
        <v/>
      </c>
      <c r="K24" s="21" t="str" cm="1">
        <f t="array" ref="K24">IF(AND($H$20,ISNUMBER($B24)),_xll.GetAttr($I24,K$21)*$G24,"")</f>
        <v/>
      </c>
      <c r="L24" s="21" t="str" cm="1">
        <f t="array" ref="L24">IF(AND($H$20,ISNUMBER($B24)),_xll.GetAttr($I24,L$21)*$G24,"")</f>
        <v/>
      </c>
      <c r="M24" s="21" t="str" cm="1">
        <f t="array" ref="M24">IF(AND($H$20,ISNUMBER($B24)),_xll.GetAttr($I24,M$21)*$G24,"")</f>
        <v/>
      </c>
      <c r="N24" s="21" t="str" cm="1">
        <f t="array" ref="N24">IF(AND($H$20,ISNUMBER($B24)),_xll.GetAttr($I24,N$21)*$G24,"")</f>
        <v/>
      </c>
    </row>
    <row r="25" spans="1:14" x14ac:dyDescent="0.4">
      <c r="A25" s="7" t="s">
        <v>0</v>
      </c>
      <c r="B25" s="7">
        <v>1</v>
      </c>
      <c r="C25" s="9">
        <v>44911</v>
      </c>
      <c r="D25" s="7">
        <v>3800</v>
      </c>
      <c r="E25" s="7" t="s">
        <v>38</v>
      </c>
      <c r="F25" s="7" t="s">
        <v>9</v>
      </c>
      <c r="G25" s="17">
        <f t="shared" si="0"/>
        <v>100</v>
      </c>
      <c r="H25" s="5" t="str" cm="1">
        <f t="array" ref="H25">IF(ISNUMBER(B25),_xll.VanillaEuropeanOption(D25,C25,A25,E25,F25),"")</f>
        <v>[bs_optionpricing.xlsm]Sheet1$H$25@4</v>
      </c>
      <c r="I25" s="5" t="str" cm="1">
        <f t="array" ref="I25">IF(AND($H$20, ISNUMBER(B25)),_xll.bsm_option_calculator(H25,VLOOKUP(A25,$A$17:$B$18,2,FALSE),$B$5,VLOOKUP(F25,$G$9:$H$9,2,FALSE),VLOOKUP(A25,$A$17:C$18,3,FALSE),VLOOKUP(A25,$A$17:$F$18,6,FALSE)),"")</f>
        <v/>
      </c>
      <c r="J25" s="21" t="str" cm="1">
        <f t="array" ref="J25">IF(AND($H$20,ISNUMBER($B25)),_xll.GetAttr($I25,J$21)*$G25,"")</f>
        <v/>
      </c>
      <c r="K25" s="21" t="str" cm="1">
        <f t="array" ref="K25">IF(AND($H$20,ISNUMBER($B25)),_xll.GetAttr($I25,K$21)*$G25,"")</f>
        <v/>
      </c>
      <c r="L25" s="21" t="str" cm="1">
        <f t="array" ref="L25">IF(AND($H$20,ISNUMBER($B25)),_xll.GetAttr($I25,L$21)*$G25,"")</f>
        <v/>
      </c>
      <c r="M25" s="21" t="str" cm="1">
        <f t="array" ref="M25">IF(AND($H$20,ISNUMBER($B25)),_xll.GetAttr($I25,M$21)*$G25,"")</f>
        <v/>
      </c>
      <c r="N25" s="21" t="str" cm="1">
        <f t="array" ref="N25">IF(AND($H$20,ISNUMBER($B25)),_xll.GetAttr($I25,N$21)*$G25,"")</f>
        <v/>
      </c>
    </row>
    <row r="26" spans="1:14" x14ac:dyDescent="0.4">
      <c r="A26" s="7"/>
      <c r="B26" s="7"/>
      <c r="C26" s="9"/>
      <c r="D26" s="7"/>
      <c r="E26" s="7" t="s">
        <v>38</v>
      </c>
      <c r="F26" s="7"/>
      <c r="G26" s="17">
        <f t="shared" si="0"/>
        <v>0</v>
      </c>
      <c r="H26" s="5" t="str" cm="1">
        <f t="array" ref="H26">IF(ISNUMBER(B26),_xll.VanillaEuropeanOption(D26,C26,A26,E26,F26),"")</f>
        <v/>
      </c>
      <c r="I26" s="5" t="str" cm="1">
        <f t="array" ref="I26">IF(AND($H$20, ISNUMBER(B26)),_xll.bsm_option_calculator(H26,VLOOKUP(A26,$A$17:$B$18,2,FALSE),$B$5,VLOOKUP(F26,$G$9:$H$9,2,FALSE),VLOOKUP(A26,$A$17:C$18,3,FALSE),VLOOKUP(A26,$A$17:$F$18,6,FALSE)),"")</f>
        <v/>
      </c>
      <c r="J26" s="21" t="str" cm="1">
        <f t="array" ref="J26">IF(AND($H$20,ISNUMBER($B26)),_xll.GetAttr($I26,J$21)*$G26,"")</f>
        <v/>
      </c>
      <c r="K26" s="21" t="str" cm="1">
        <f t="array" ref="K26">IF(AND($H$20,ISNUMBER($B26)),_xll.GetAttr($I26,K$21)*$G26,"")</f>
        <v/>
      </c>
      <c r="L26" s="21" t="str" cm="1">
        <f t="array" ref="L26">IF(AND($H$20,ISNUMBER($B26)),_xll.GetAttr($I26,L$21)*$G26,"")</f>
        <v/>
      </c>
      <c r="M26" s="21" t="str" cm="1">
        <f t="array" ref="M26">IF(AND($H$20,ISNUMBER($B26)),_xll.GetAttr($I26,M$21)*$G26,"")</f>
        <v/>
      </c>
      <c r="N26" s="21" t="str" cm="1">
        <f t="array" ref="N26">IF(AND($H$20,ISNUMBER($B26)),_xll.GetAttr($I26,N$21)*$G26,"")</f>
        <v/>
      </c>
    </row>
    <row r="27" spans="1:14" x14ac:dyDescent="0.4">
      <c r="A27" s="7"/>
      <c r="B27" s="7"/>
      <c r="C27" s="9"/>
      <c r="D27" s="7"/>
      <c r="E27" s="7" t="s">
        <v>38</v>
      </c>
      <c r="F27" s="7"/>
      <c r="G27" s="17">
        <f t="shared" si="0"/>
        <v>0</v>
      </c>
      <c r="H27" s="5" t="str" cm="1">
        <f t="array" ref="H27">IF(ISNUMBER(B27),_xll.VanillaEuropeanOption(D27,C27,A27,E27,F27),"")</f>
        <v/>
      </c>
      <c r="I27" s="5" t="str" cm="1">
        <f t="array" ref="I27">IF(AND($H$20, ISNUMBER(B27)),_xll.bsm_option_calculator(H27,VLOOKUP(A27,$A$17:$B$18,2,FALSE),$B$5,VLOOKUP(F27,$G$9:$H$9,2,FALSE),VLOOKUP(A27,$A$17:C$18,3,FALSE),VLOOKUP(A27,$A$17:$F$18,6,FALSE)),"")</f>
        <v/>
      </c>
      <c r="J27" s="21" t="str" cm="1">
        <f t="array" ref="J27">IF(AND($H$20,ISNUMBER($B27)),_xll.GetAttr($I27,J$21)*$G27,"")</f>
        <v/>
      </c>
      <c r="K27" s="21" t="str" cm="1">
        <f t="array" ref="K27">IF(AND($H$20,ISNUMBER($B27)),_xll.GetAttr($I27,K$21)*$G27,"")</f>
        <v/>
      </c>
      <c r="L27" s="21" t="str" cm="1">
        <f t="array" ref="L27">IF(AND($H$20,ISNUMBER($B27)),_xll.GetAttr($I27,L$21)*$G27,"")</f>
        <v/>
      </c>
      <c r="M27" s="21" t="str" cm="1">
        <f t="array" ref="M27">IF(AND($H$20,ISNUMBER($B27)),_xll.GetAttr($I27,M$21)*$G27,"")</f>
        <v/>
      </c>
      <c r="N27" s="21" t="str" cm="1">
        <f t="array" ref="N27">IF(AND($H$20,ISNUMBER($B27)),_xll.GetAttr($I27,N$21)*$G27,"")</f>
        <v/>
      </c>
    </row>
    <row r="28" spans="1:14" x14ac:dyDescent="0.4">
      <c r="A28" s="7"/>
      <c r="B28" s="7"/>
      <c r="C28" s="9"/>
      <c r="D28" s="7"/>
      <c r="E28" s="7" t="s">
        <v>38</v>
      </c>
      <c r="F28" s="7"/>
      <c r="G28" s="17">
        <f t="shared" si="0"/>
        <v>0</v>
      </c>
      <c r="H28" s="5" t="str" cm="1">
        <f t="array" ref="H28">IF(ISNUMBER(B28),_xll.VanillaEuropeanOption(D28,C28,A28,E28,F28),"")</f>
        <v/>
      </c>
      <c r="I28" s="5" t="str" cm="1">
        <f t="array" ref="I28">IF(AND($H$20, ISNUMBER(B28)),_xll.bsm_option_calculator(H28,VLOOKUP(A28,$A$17:$B$18,2,FALSE),$B$5,VLOOKUP(F28,$G$9:$H$9,2,FALSE),VLOOKUP(A28,$A$17:C$18,3,FALSE),VLOOKUP(A28,$A$17:$F$18,6,FALSE)),"")</f>
        <v/>
      </c>
      <c r="J28" s="21" t="str" cm="1">
        <f t="array" ref="J28">IF(AND($H$20,ISNUMBER($B28)),_xll.GetAttr($I28,J$21)*$G28,"")</f>
        <v/>
      </c>
      <c r="K28" s="21" t="str" cm="1">
        <f t="array" ref="K28">IF(AND($H$20,ISNUMBER($B28)),_xll.GetAttr($I28,K$21)*$G28,"")</f>
        <v/>
      </c>
      <c r="L28" s="21" t="str" cm="1">
        <f t="array" ref="L28">IF(AND($H$20,ISNUMBER($B28)),_xll.GetAttr($I28,L$21)*$G28,"")</f>
        <v/>
      </c>
      <c r="M28" s="21" t="str" cm="1">
        <f t="array" ref="M28">IF(AND($H$20,ISNUMBER($B28)),_xll.GetAttr($I28,M$21)*$G28,"")</f>
        <v/>
      </c>
      <c r="N28" s="21" t="str" cm="1">
        <f t="array" ref="N28">IF(AND($H$20,ISNUMBER($B28)),_xll.GetAttr($I28,N$21)*$G28,"")</f>
        <v/>
      </c>
    </row>
    <row r="29" spans="1:14" x14ac:dyDescent="0.4">
      <c r="A29" s="7"/>
      <c r="B29" s="7"/>
      <c r="C29" s="9"/>
      <c r="D29" s="7"/>
      <c r="E29" s="7" t="s">
        <v>38</v>
      </c>
      <c r="F29" s="7"/>
      <c r="G29" s="17">
        <f t="shared" si="0"/>
        <v>0</v>
      </c>
      <c r="H29" s="5" t="str" cm="1">
        <f t="array" ref="H29">IF(ISNUMBER(B29),_xll.VanillaEuropeanOption(D29,C29,A29,E29,F29),"")</f>
        <v/>
      </c>
      <c r="I29" s="5" t="str" cm="1">
        <f t="array" ref="I29">IF(AND($H$20, ISNUMBER(B29)),_xll.bsm_option_calculator(H29,VLOOKUP(A29,$A$17:$B$18,2,FALSE),$B$5,VLOOKUP(F29,$G$9:$H$9,2,FALSE),VLOOKUP(A29,$A$17:C$18,3,FALSE),VLOOKUP(A29,$A$17:$F$18,6,FALSE)),"")</f>
        <v/>
      </c>
      <c r="J29" s="21" t="str" cm="1">
        <f t="array" ref="J29">IF(AND($H$20,ISNUMBER($B29)),_xll.GetAttr($I29,J$21)*$G29,"")</f>
        <v/>
      </c>
      <c r="K29" s="21" t="str" cm="1">
        <f t="array" ref="K29">IF(AND($H$20,ISNUMBER($B29)),_xll.GetAttr($I29,K$21)*$G29,"")</f>
        <v/>
      </c>
      <c r="L29" s="21" t="str" cm="1">
        <f t="array" ref="L29">IF(AND($H$20,ISNUMBER($B29)),_xll.GetAttr($I29,L$21)*$G29,"")</f>
        <v/>
      </c>
      <c r="M29" s="21" t="str" cm="1">
        <f t="array" ref="M29">IF(AND($H$20,ISNUMBER($B29)),_xll.GetAttr($I29,M$21)*$G29,"")</f>
        <v/>
      </c>
      <c r="N29" s="21" t="str" cm="1">
        <f t="array" ref="N29">IF(AND($H$20,ISNUMBER($B29)),_xll.GetAttr($I29,N$21)*$G29,"")</f>
        <v/>
      </c>
    </row>
    <row r="30" spans="1:14" x14ac:dyDescent="0.4">
      <c r="A30" s="7"/>
      <c r="B30" s="7"/>
      <c r="C30" s="9"/>
      <c r="D30" s="7"/>
      <c r="E30" s="7" t="s">
        <v>38</v>
      </c>
      <c r="F30" s="7"/>
      <c r="G30" s="17">
        <f t="shared" si="0"/>
        <v>0</v>
      </c>
      <c r="H30" s="5" t="str" cm="1">
        <f t="array" ref="H30">IF(ISNUMBER(B30),_xll.VanillaEuropeanOption(D30,C30,A30,E30,F30),"")</f>
        <v/>
      </c>
      <c r="I30" s="5" t="str" cm="1">
        <f t="array" ref="I30">IF(AND($H$20, ISNUMBER(B30)),_xll.bsm_option_calculator(H30,VLOOKUP(A30,$A$17:$B$18,2,FALSE),$B$5,VLOOKUP(F30,$G$9:$H$9,2,FALSE),VLOOKUP(A30,$A$17:C$18,3,FALSE),VLOOKUP(A30,$A$17:$F$18,6,FALSE)),"")</f>
        <v/>
      </c>
      <c r="J30" s="21" t="str" cm="1">
        <f t="array" ref="J30">IF(AND($H$20,ISNUMBER($B30)),_xll.GetAttr($I30,J$21)*$G30,"")</f>
        <v/>
      </c>
      <c r="K30" s="21" t="str" cm="1">
        <f t="array" ref="K30">IF(AND($H$20,ISNUMBER($B30)),_xll.GetAttr($I30,K$21)*$G30,"")</f>
        <v/>
      </c>
      <c r="L30" s="21" t="str" cm="1">
        <f t="array" ref="L30">IF(AND($H$20,ISNUMBER($B30)),_xll.GetAttr($I30,L$21)*$G30,"")</f>
        <v/>
      </c>
      <c r="M30" s="21" t="str" cm="1">
        <f t="array" ref="M30">IF(AND($H$20,ISNUMBER($B30)),_xll.GetAttr($I30,M$21)*$G30,"")</f>
        <v/>
      </c>
      <c r="N30" s="21" t="str" cm="1">
        <f t="array" ref="N30">IF(AND($H$20,ISNUMBER($B30)),_xll.GetAttr($I30,N$21)*$G30,"")</f>
        <v/>
      </c>
    </row>
    <row r="31" spans="1:14" x14ac:dyDescent="0.4">
      <c r="A31" s="7"/>
      <c r="B31" s="7"/>
      <c r="C31" s="9"/>
      <c r="D31" s="7"/>
      <c r="E31" s="7" t="s">
        <v>38</v>
      </c>
      <c r="F31" s="7"/>
      <c r="G31" s="17">
        <f t="shared" si="0"/>
        <v>0</v>
      </c>
      <c r="H31" s="5" t="str" cm="1">
        <f t="array" ref="H31">IF(ISNUMBER(B31),_xll.VanillaEuropeanOption(D31,C31,A31,E31,F31),"")</f>
        <v/>
      </c>
      <c r="I31" s="5" t="str" cm="1">
        <f t="array" ref="I31">IF(AND($H$20, ISNUMBER(B31)),_xll.bsm_option_calculator(H31,VLOOKUP(A31,$A$17:$B$18,2,FALSE),$B$5,VLOOKUP(F31,$G$9:$H$9,2,FALSE),VLOOKUP(A31,$A$17:C$18,3,FALSE),VLOOKUP(A31,$A$17:$F$18,6,FALSE)),"")</f>
        <v/>
      </c>
      <c r="J31" s="21" t="str" cm="1">
        <f t="array" ref="J31">IF(AND($H$20,ISNUMBER($B31)),_xll.GetAttr($I31,J$21)*$G31,"")</f>
        <v/>
      </c>
      <c r="K31" s="21" t="str" cm="1">
        <f t="array" ref="K31">IF(AND($H$20,ISNUMBER($B31)),_xll.GetAttr($I31,K$21)*$G31,"")</f>
        <v/>
      </c>
      <c r="L31" s="21" t="str" cm="1">
        <f t="array" ref="L31">IF(AND($H$20,ISNUMBER($B31)),_xll.GetAttr($I31,L$21)*$G31,"")</f>
        <v/>
      </c>
      <c r="M31" s="21" t="str" cm="1">
        <f t="array" ref="M31">IF(AND($H$20,ISNUMBER($B31)),_xll.GetAttr($I31,M$21)*$G31,"")</f>
        <v/>
      </c>
      <c r="N31" s="21" t="str" cm="1">
        <f t="array" ref="N31">IF(AND($H$20,ISNUMBER($B31)),_xll.GetAttr($I31,N$21)*$G31,"")</f>
        <v/>
      </c>
    </row>
    <row r="32" spans="1:14" ht="15" thickBot="1" x14ac:dyDescent="0.45">
      <c r="A32" s="5" t="s">
        <v>25</v>
      </c>
      <c r="B32" s="5" t="s">
        <v>32</v>
      </c>
      <c r="H32" t="str" cm="1">
        <f t="array" ref="H32">IF(ISNUMBER(#REF!),_xll.VanillaEuropeanOption(D32,C32,#REF!,E32,F32),"")</f>
        <v/>
      </c>
      <c r="I32" t="str" cm="1">
        <f t="array" ref="I32">IF(AND($H$20, ISNUMBER(#REF!)),_xll.bsm_option_calculator(H32,VLOOKUP(#REF!,$A$17:$B$18,2,FALSE),$B$5,VLOOKUP(F32,$G$9:$H$9,2,FALSE),VLOOKUP(#REF!,$A$17:C$18,3,FALSE),VLOOKUP(#REF!,$A$17:$E$18,4,FALSE)),"")</f>
        <v/>
      </c>
      <c r="J32" s="37">
        <f>SUM(J22:J31)</f>
        <v>0</v>
      </c>
      <c r="K32" s="37">
        <f t="shared" ref="K32:N32" si="1">SUM(K22:K31)</f>
        <v>0</v>
      </c>
      <c r="L32" s="37">
        <f t="shared" si="1"/>
        <v>0</v>
      </c>
      <c r="M32" s="37">
        <f t="shared" si="1"/>
        <v>0</v>
      </c>
      <c r="N32" s="37">
        <f t="shared" si="1"/>
        <v>0</v>
      </c>
    </row>
    <row r="33" spans="1:23" ht="15" thickBot="1" x14ac:dyDescent="0.45">
      <c r="A33" s="5" t="str" cm="1">
        <f t="array" ref="A33">_xll.OptionPortfolio(H22:H31,G22:G31)</f>
        <v>[bs_optionpricing.xlsm]Sheet1$A$33@68</v>
      </c>
      <c r="B33" s="5" t="str" cm="1">
        <f t="array" ref="B33">_xll.OptionPortfolioCalculator(J9:K9,A33,B5,A17:B18,_xll.CreateRange(A17:A18,F17:F18),_xll.CreateRange(A17:A18,C17:C18),G9:H9)</f>
        <v>[bs_optionpricing.xlsm]Sheet1$B$33@44693</v>
      </c>
      <c r="J33" s="37" cm="1">
        <f t="array" ref="J33">_xll.GetAttr($B$33,J21)</f>
        <v>454.52638775439118</v>
      </c>
      <c r="K33" s="37" cm="1">
        <f t="array" ref="K33">_xll.GetAttr($B$33,K21)</f>
        <v>-87.209398155478993</v>
      </c>
      <c r="L33" s="37" cm="1">
        <f t="array" ref="L33">_xll.GetAttr($B$33,L21)</f>
        <v>-330.33464849518532</v>
      </c>
      <c r="M33" s="37" cm="1">
        <f t="array" ref="M33">_xll.GetAttr($B$33,M21)</f>
        <v>-16.895938500702982</v>
      </c>
      <c r="N33" s="37" cm="1">
        <f t="array" ref="N33">_xll.GetAttr($B$33,N21)</f>
        <v>3.2608132147831697</v>
      </c>
    </row>
    <row r="35" spans="1:23" x14ac:dyDescent="0.4">
      <c r="A35" s="3" t="s">
        <v>33</v>
      </c>
      <c r="B35" s="11" t="b">
        <v>0</v>
      </c>
      <c r="C35" s="2"/>
      <c r="D35" s="2"/>
      <c r="E35" s="2"/>
      <c r="F35" s="2"/>
      <c r="G35" s="2"/>
    </row>
    <row r="36" spans="1:23" x14ac:dyDescent="0.4">
      <c r="A36" s="3" t="s">
        <v>35</v>
      </c>
      <c r="B36" s="7" t="s">
        <v>20</v>
      </c>
    </row>
    <row r="37" spans="1:23" x14ac:dyDescent="0.4">
      <c r="C37" s="3" t="s">
        <v>36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4">
      <c r="A38" s="14" t="s">
        <v>37</v>
      </c>
      <c r="B38" s="12" cm="1">
        <f t="array" ref="B38">IF(B35,VLOOKUP(B36,TRANSPOSE(J21:N33),13,FALSE),0)</f>
        <v>0</v>
      </c>
      <c r="C38" s="13">
        <v>-0.1</v>
      </c>
      <c r="D38" s="13">
        <v>-0.09</v>
      </c>
      <c r="E38" s="13">
        <v>-0.08</v>
      </c>
      <c r="F38" s="13">
        <v>-7.0000000000000007E-2</v>
      </c>
      <c r="G38" s="13">
        <v>-0.06</v>
      </c>
      <c r="H38" s="13">
        <v>-0.05</v>
      </c>
      <c r="I38" s="13">
        <v>-3.9999999999999897E-2</v>
      </c>
      <c r="J38" s="13">
        <v>-2.9999999999999898E-2</v>
      </c>
      <c r="K38" s="13">
        <v>-1.99999999999999E-2</v>
      </c>
      <c r="L38" s="13">
        <v>-9.99999999999991E-3</v>
      </c>
      <c r="M38" s="13">
        <v>0</v>
      </c>
      <c r="N38" s="13">
        <v>0.01</v>
      </c>
      <c r="O38" s="13">
        <v>0.02</v>
      </c>
      <c r="P38" s="13">
        <v>0.03</v>
      </c>
      <c r="Q38" s="13">
        <v>0.04</v>
      </c>
      <c r="R38" s="13">
        <v>0.05</v>
      </c>
      <c r="S38" s="13">
        <v>0.06</v>
      </c>
      <c r="T38" s="13">
        <v>7.0000000000000007E-2</v>
      </c>
      <c r="U38" s="13">
        <v>0.08</v>
      </c>
      <c r="V38" s="13">
        <v>0.09</v>
      </c>
      <c r="W38" s="13">
        <v>0.1</v>
      </c>
    </row>
    <row r="39" spans="1:23" x14ac:dyDescent="0.4">
      <c r="A39" s="14"/>
      <c r="B39" s="13">
        <v>0.9</v>
      </c>
      <c r="C39" s="21">
        <f t="dataTable" ref="C39:W59" dt2D="1" dtr="1" r1="D13" r2="B13"/>
        <v>0</v>
      </c>
      <c r="D39" s="21">
        <v>0</v>
      </c>
      <c r="E39" s="21">
        <v>0</v>
      </c>
      <c r="F39" s="21">
        <v>0</v>
      </c>
      <c r="G39" s="21">
        <v>0</v>
      </c>
      <c r="H39" s="21">
        <v>0</v>
      </c>
      <c r="I39" s="21">
        <v>0</v>
      </c>
      <c r="J39" s="21">
        <v>0</v>
      </c>
      <c r="K39" s="21">
        <v>0</v>
      </c>
      <c r="L39" s="22">
        <v>0</v>
      </c>
      <c r="M39" s="23">
        <v>0</v>
      </c>
      <c r="N39" s="24">
        <v>0</v>
      </c>
      <c r="O39" s="21">
        <v>0</v>
      </c>
      <c r="P39" s="21">
        <v>0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</row>
    <row r="40" spans="1:23" x14ac:dyDescent="0.4">
      <c r="A40" s="14"/>
      <c r="B40" s="13">
        <v>0.91</v>
      </c>
      <c r="C40" s="21">
        <v>0</v>
      </c>
      <c r="D40" s="21">
        <v>0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J40" s="21">
        <v>0</v>
      </c>
      <c r="K40" s="21">
        <v>0</v>
      </c>
      <c r="L40" s="22">
        <v>0</v>
      </c>
      <c r="M40" s="23">
        <v>0</v>
      </c>
      <c r="N40" s="24">
        <v>0</v>
      </c>
      <c r="O40" s="21">
        <v>0</v>
      </c>
      <c r="P40" s="21">
        <v>0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</row>
    <row r="41" spans="1:23" x14ac:dyDescent="0.4">
      <c r="A41" s="14"/>
      <c r="B41" s="13">
        <v>0.92</v>
      </c>
      <c r="C41" s="21">
        <v>0</v>
      </c>
      <c r="D41" s="21">
        <v>0</v>
      </c>
      <c r="E41" s="21">
        <v>0</v>
      </c>
      <c r="F41" s="21">
        <v>0</v>
      </c>
      <c r="G41" s="21">
        <v>0</v>
      </c>
      <c r="H41" s="21">
        <v>0</v>
      </c>
      <c r="I41" s="21">
        <v>0</v>
      </c>
      <c r="J41" s="21">
        <v>0</v>
      </c>
      <c r="K41" s="21">
        <v>0</v>
      </c>
      <c r="L41" s="22">
        <v>0</v>
      </c>
      <c r="M41" s="23">
        <v>0</v>
      </c>
      <c r="N41" s="24">
        <v>0</v>
      </c>
      <c r="O41" s="21">
        <v>0</v>
      </c>
      <c r="P41" s="21">
        <v>0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</row>
    <row r="42" spans="1:23" x14ac:dyDescent="0.4">
      <c r="A42" s="14"/>
      <c r="B42" s="13">
        <v>0.93</v>
      </c>
      <c r="C42" s="21">
        <v>0</v>
      </c>
      <c r="D42" s="21">
        <v>0</v>
      </c>
      <c r="E42" s="21">
        <v>0</v>
      </c>
      <c r="F42" s="21">
        <v>0</v>
      </c>
      <c r="G42" s="21">
        <v>0</v>
      </c>
      <c r="H42" s="21">
        <v>0</v>
      </c>
      <c r="I42" s="21">
        <v>0</v>
      </c>
      <c r="J42" s="21">
        <v>0</v>
      </c>
      <c r="K42" s="21">
        <v>0</v>
      </c>
      <c r="L42" s="22">
        <v>0</v>
      </c>
      <c r="M42" s="23">
        <v>0</v>
      </c>
      <c r="N42" s="24">
        <v>0</v>
      </c>
      <c r="O42" s="21">
        <v>0</v>
      </c>
      <c r="P42" s="21">
        <v>0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</row>
    <row r="43" spans="1:23" x14ac:dyDescent="0.4">
      <c r="A43" s="14"/>
      <c r="B43" s="13">
        <v>0.94</v>
      </c>
      <c r="C43" s="21">
        <v>0</v>
      </c>
      <c r="D43" s="21">
        <v>0</v>
      </c>
      <c r="E43" s="21">
        <v>0</v>
      </c>
      <c r="F43" s="21">
        <v>0</v>
      </c>
      <c r="G43" s="21">
        <v>0</v>
      </c>
      <c r="H43" s="21">
        <v>0</v>
      </c>
      <c r="I43" s="21">
        <v>0</v>
      </c>
      <c r="J43" s="21">
        <v>0</v>
      </c>
      <c r="K43" s="21">
        <v>0</v>
      </c>
      <c r="L43" s="22">
        <v>0</v>
      </c>
      <c r="M43" s="23">
        <v>0</v>
      </c>
      <c r="N43" s="24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0</v>
      </c>
      <c r="W43" s="21">
        <v>0</v>
      </c>
    </row>
    <row r="44" spans="1:23" x14ac:dyDescent="0.4">
      <c r="A44" s="14"/>
      <c r="B44" s="13">
        <v>0.95</v>
      </c>
      <c r="C44" s="21">
        <v>0</v>
      </c>
      <c r="D44" s="21">
        <v>0</v>
      </c>
      <c r="E44" s="21">
        <v>0</v>
      </c>
      <c r="F44" s="21">
        <v>0</v>
      </c>
      <c r="G44" s="21">
        <v>0</v>
      </c>
      <c r="H44" s="21">
        <v>0</v>
      </c>
      <c r="I44" s="21">
        <v>0</v>
      </c>
      <c r="J44" s="21">
        <v>0</v>
      </c>
      <c r="K44" s="21">
        <v>0</v>
      </c>
      <c r="L44" s="22">
        <v>0</v>
      </c>
      <c r="M44" s="23">
        <v>0</v>
      </c>
      <c r="N44" s="24">
        <v>0</v>
      </c>
      <c r="O44" s="21">
        <v>0</v>
      </c>
      <c r="P44" s="21">
        <v>0</v>
      </c>
      <c r="Q44" s="21">
        <v>0</v>
      </c>
      <c r="R44" s="21">
        <v>0</v>
      </c>
      <c r="S44" s="21">
        <v>0</v>
      </c>
      <c r="T44" s="21">
        <v>0</v>
      </c>
      <c r="U44" s="21">
        <v>0</v>
      </c>
      <c r="V44" s="21">
        <v>0</v>
      </c>
      <c r="W44" s="21">
        <v>0</v>
      </c>
    </row>
    <row r="45" spans="1:23" x14ac:dyDescent="0.4">
      <c r="A45" s="14"/>
      <c r="B45" s="13">
        <v>0.96</v>
      </c>
      <c r="C45" s="21">
        <v>0</v>
      </c>
      <c r="D45" s="21">
        <v>0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J45" s="21">
        <v>0</v>
      </c>
      <c r="K45" s="21">
        <v>0</v>
      </c>
      <c r="L45" s="22">
        <v>0</v>
      </c>
      <c r="M45" s="23">
        <v>0</v>
      </c>
      <c r="N45" s="24">
        <v>0</v>
      </c>
      <c r="O45" s="21">
        <v>0</v>
      </c>
      <c r="P45" s="21">
        <v>0</v>
      </c>
      <c r="Q45" s="21">
        <v>0</v>
      </c>
      <c r="R45" s="21">
        <v>0</v>
      </c>
      <c r="S45" s="21">
        <v>0</v>
      </c>
      <c r="T45" s="21">
        <v>0</v>
      </c>
      <c r="U45" s="21">
        <v>0</v>
      </c>
      <c r="V45" s="21">
        <v>0</v>
      </c>
      <c r="W45" s="21">
        <v>0</v>
      </c>
    </row>
    <row r="46" spans="1:23" x14ac:dyDescent="0.4">
      <c r="A46" s="14"/>
      <c r="B46" s="13">
        <v>0.97</v>
      </c>
      <c r="C46" s="21">
        <v>0</v>
      </c>
      <c r="D46" s="21">
        <v>0</v>
      </c>
      <c r="E46" s="21">
        <v>0</v>
      </c>
      <c r="F46" s="21">
        <v>0</v>
      </c>
      <c r="G46" s="21">
        <v>0</v>
      </c>
      <c r="H46" s="21">
        <v>0</v>
      </c>
      <c r="I46" s="21">
        <v>0</v>
      </c>
      <c r="J46" s="21">
        <v>0</v>
      </c>
      <c r="K46" s="21">
        <v>0</v>
      </c>
      <c r="L46" s="22">
        <v>0</v>
      </c>
      <c r="M46" s="23">
        <v>0</v>
      </c>
      <c r="N46" s="24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1">
        <v>0</v>
      </c>
      <c r="U46" s="21">
        <v>0</v>
      </c>
      <c r="V46" s="21">
        <v>0</v>
      </c>
      <c r="W46" s="21">
        <v>0</v>
      </c>
    </row>
    <row r="47" spans="1:23" x14ac:dyDescent="0.4">
      <c r="A47" s="14"/>
      <c r="B47" s="13">
        <v>0.98</v>
      </c>
      <c r="C47" s="21">
        <v>0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0</v>
      </c>
      <c r="J47" s="21">
        <v>0</v>
      </c>
      <c r="K47" s="21">
        <v>0</v>
      </c>
      <c r="L47" s="22">
        <v>0</v>
      </c>
      <c r="M47" s="23">
        <v>0</v>
      </c>
      <c r="N47" s="24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1">
        <v>0</v>
      </c>
      <c r="U47" s="21">
        <v>0</v>
      </c>
      <c r="V47" s="21">
        <v>0</v>
      </c>
      <c r="W47" s="21">
        <v>0</v>
      </c>
    </row>
    <row r="48" spans="1:23" ht="15" thickBot="1" x14ac:dyDescent="0.45">
      <c r="A48" s="14"/>
      <c r="B48" s="13">
        <v>0.99</v>
      </c>
      <c r="C48" s="25">
        <v>0</v>
      </c>
      <c r="D48" s="25">
        <v>0</v>
      </c>
      <c r="E48" s="25">
        <v>0</v>
      </c>
      <c r="F48" s="25">
        <v>0</v>
      </c>
      <c r="G48" s="25">
        <v>0</v>
      </c>
      <c r="H48" s="25">
        <v>0</v>
      </c>
      <c r="I48" s="25">
        <v>0</v>
      </c>
      <c r="J48" s="25">
        <v>0</v>
      </c>
      <c r="K48" s="25">
        <v>0</v>
      </c>
      <c r="L48" s="26">
        <v>0</v>
      </c>
      <c r="M48" s="27">
        <v>0</v>
      </c>
      <c r="N48" s="28">
        <v>0</v>
      </c>
      <c r="O48" s="25">
        <v>0</v>
      </c>
      <c r="P48" s="25">
        <v>0</v>
      </c>
      <c r="Q48" s="25">
        <v>0</v>
      </c>
      <c r="R48" s="25">
        <v>0</v>
      </c>
      <c r="S48" s="25">
        <v>0</v>
      </c>
      <c r="T48" s="25">
        <v>0</v>
      </c>
      <c r="U48" s="25">
        <v>0</v>
      </c>
      <c r="V48" s="25">
        <v>0</v>
      </c>
      <c r="W48" s="25">
        <v>0</v>
      </c>
    </row>
    <row r="49" spans="1:23" ht="15.45" thickTop="1" thickBot="1" x14ac:dyDescent="0.45">
      <c r="A49" s="14"/>
      <c r="B49" s="13">
        <v>1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9">
        <v>0</v>
      </c>
      <c r="I49" s="29">
        <v>0</v>
      </c>
      <c r="J49" s="29">
        <v>0</v>
      </c>
      <c r="K49" s="29">
        <v>0</v>
      </c>
      <c r="L49" s="30">
        <v>0</v>
      </c>
      <c r="M49" s="31">
        <v>0</v>
      </c>
      <c r="N49" s="32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9">
        <v>0</v>
      </c>
      <c r="V49" s="29">
        <v>0</v>
      </c>
      <c r="W49" s="29">
        <v>0</v>
      </c>
    </row>
    <row r="50" spans="1:23" ht="15" thickTop="1" x14ac:dyDescent="0.4">
      <c r="A50" s="14"/>
      <c r="B50" s="13">
        <v>1.01</v>
      </c>
      <c r="C50" s="33">
        <v>0</v>
      </c>
      <c r="D50" s="33">
        <v>0</v>
      </c>
      <c r="E50" s="33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4">
        <v>0</v>
      </c>
      <c r="M50" s="35">
        <v>0</v>
      </c>
      <c r="N50" s="36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</row>
    <row r="51" spans="1:23" x14ac:dyDescent="0.4">
      <c r="A51" s="14"/>
      <c r="B51" s="13">
        <v>1.02</v>
      </c>
      <c r="C51" s="21">
        <v>0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J51" s="21">
        <v>0</v>
      </c>
      <c r="K51" s="21">
        <v>0</v>
      </c>
      <c r="L51" s="22">
        <v>0</v>
      </c>
      <c r="M51" s="23">
        <v>0</v>
      </c>
      <c r="N51" s="24">
        <v>0</v>
      </c>
      <c r="O51" s="21">
        <v>0</v>
      </c>
      <c r="P51" s="21">
        <v>0</v>
      </c>
      <c r="Q51" s="21">
        <v>0</v>
      </c>
      <c r="R51" s="21">
        <v>0</v>
      </c>
      <c r="S51" s="21">
        <v>0</v>
      </c>
      <c r="T51" s="21">
        <v>0</v>
      </c>
      <c r="U51" s="21">
        <v>0</v>
      </c>
      <c r="V51" s="21">
        <v>0</v>
      </c>
      <c r="W51" s="21">
        <v>0</v>
      </c>
    </row>
    <row r="52" spans="1:23" x14ac:dyDescent="0.4">
      <c r="A52" s="14"/>
      <c r="B52" s="13">
        <v>1.03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J52" s="21">
        <v>0</v>
      </c>
      <c r="K52" s="21">
        <v>0</v>
      </c>
      <c r="L52" s="22">
        <v>0</v>
      </c>
      <c r="M52" s="23">
        <v>0</v>
      </c>
      <c r="N52" s="24">
        <v>0</v>
      </c>
      <c r="O52" s="21">
        <v>0</v>
      </c>
      <c r="P52" s="21">
        <v>0</v>
      </c>
      <c r="Q52" s="21">
        <v>0</v>
      </c>
      <c r="R52" s="21">
        <v>0</v>
      </c>
      <c r="S52" s="21">
        <v>0</v>
      </c>
      <c r="T52" s="21">
        <v>0</v>
      </c>
      <c r="U52" s="21">
        <v>0</v>
      </c>
      <c r="V52" s="21">
        <v>0</v>
      </c>
      <c r="W52" s="21">
        <v>0</v>
      </c>
    </row>
    <row r="53" spans="1:23" x14ac:dyDescent="0.4">
      <c r="A53" s="14"/>
      <c r="B53" s="13">
        <v>1.04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J53" s="21">
        <v>0</v>
      </c>
      <c r="K53" s="21">
        <v>0</v>
      </c>
      <c r="L53" s="22">
        <v>0</v>
      </c>
      <c r="M53" s="23">
        <v>0</v>
      </c>
      <c r="N53" s="24">
        <v>0</v>
      </c>
      <c r="O53" s="21">
        <v>0</v>
      </c>
      <c r="P53" s="21">
        <v>0</v>
      </c>
      <c r="Q53" s="21">
        <v>0</v>
      </c>
      <c r="R53" s="21">
        <v>0</v>
      </c>
      <c r="S53" s="21">
        <v>0</v>
      </c>
      <c r="T53" s="21">
        <v>0</v>
      </c>
      <c r="U53" s="21">
        <v>0</v>
      </c>
      <c r="V53" s="21">
        <v>0</v>
      </c>
      <c r="W53" s="21">
        <v>0</v>
      </c>
    </row>
    <row r="54" spans="1:23" x14ac:dyDescent="0.4">
      <c r="A54" s="14"/>
      <c r="B54" s="13">
        <v>1.05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J54" s="21">
        <v>0</v>
      </c>
      <c r="K54" s="21">
        <v>0</v>
      </c>
      <c r="L54" s="22">
        <v>0</v>
      </c>
      <c r="M54" s="23">
        <v>0</v>
      </c>
      <c r="N54" s="24">
        <v>0</v>
      </c>
      <c r="O54" s="21">
        <v>0</v>
      </c>
      <c r="P54" s="21">
        <v>0</v>
      </c>
      <c r="Q54" s="21">
        <v>0</v>
      </c>
      <c r="R54" s="21">
        <v>0</v>
      </c>
      <c r="S54" s="21">
        <v>0</v>
      </c>
      <c r="T54" s="21">
        <v>0</v>
      </c>
      <c r="U54" s="21">
        <v>0</v>
      </c>
      <c r="V54" s="21">
        <v>0</v>
      </c>
      <c r="W54" s="21">
        <v>0</v>
      </c>
    </row>
    <row r="55" spans="1:23" x14ac:dyDescent="0.4">
      <c r="A55" s="14"/>
      <c r="B55" s="13">
        <v>1.06</v>
      </c>
      <c r="C55" s="21">
        <v>0</v>
      </c>
      <c r="D55" s="21">
        <v>0</v>
      </c>
      <c r="E55" s="21">
        <v>0</v>
      </c>
      <c r="F55" s="21">
        <v>0</v>
      </c>
      <c r="G55" s="21">
        <v>0</v>
      </c>
      <c r="H55" s="21">
        <v>0</v>
      </c>
      <c r="I55" s="21">
        <v>0</v>
      </c>
      <c r="J55" s="21">
        <v>0</v>
      </c>
      <c r="K55" s="21">
        <v>0</v>
      </c>
      <c r="L55" s="22">
        <v>0</v>
      </c>
      <c r="M55" s="23">
        <v>0</v>
      </c>
      <c r="N55" s="24">
        <v>0</v>
      </c>
      <c r="O55" s="21">
        <v>0</v>
      </c>
      <c r="P55" s="21">
        <v>0</v>
      </c>
      <c r="Q55" s="21">
        <v>0</v>
      </c>
      <c r="R55" s="21">
        <v>0</v>
      </c>
      <c r="S55" s="21">
        <v>0</v>
      </c>
      <c r="T55" s="21">
        <v>0</v>
      </c>
      <c r="U55" s="21">
        <v>0</v>
      </c>
      <c r="V55" s="21">
        <v>0</v>
      </c>
      <c r="W55" s="21">
        <v>0</v>
      </c>
    </row>
    <row r="56" spans="1:23" x14ac:dyDescent="0.4">
      <c r="A56" s="14"/>
      <c r="B56" s="13">
        <v>1.07</v>
      </c>
      <c r="C56" s="21">
        <v>0</v>
      </c>
      <c r="D56" s="21">
        <v>0</v>
      </c>
      <c r="E56" s="21">
        <v>0</v>
      </c>
      <c r="F56" s="21">
        <v>0</v>
      </c>
      <c r="G56" s="21">
        <v>0</v>
      </c>
      <c r="H56" s="21">
        <v>0</v>
      </c>
      <c r="I56" s="21">
        <v>0</v>
      </c>
      <c r="J56" s="21">
        <v>0</v>
      </c>
      <c r="K56" s="21">
        <v>0</v>
      </c>
      <c r="L56" s="22">
        <v>0</v>
      </c>
      <c r="M56" s="23">
        <v>0</v>
      </c>
      <c r="N56" s="24">
        <v>0</v>
      </c>
      <c r="O56" s="21">
        <v>0</v>
      </c>
      <c r="P56" s="21">
        <v>0</v>
      </c>
      <c r="Q56" s="21">
        <v>0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0</v>
      </c>
    </row>
    <row r="57" spans="1:23" x14ac:dyDescent="0.4">
      <c r="A57" s="14"/>
      <c r="B57" s="13">
        <v>1.08</v>
      </c>
      <c r="C57" s="21">
        <v>0</v>
      </c>
      <c r="D57" s="21">
        <v>0</v>
      </c>
      <c r="E57" s="21">
        <v>0</v>
      </c>
      <c r="F57" s="21">
        <v>0</v>
      </c>
      <c r="G57" s="21">
        <v>0</v>
      </c>
      <c r="H57" s="21">
        <v>0</v>
      </c>
      <c r="I57" s="21">
        <v>0</v>
      </c>
      <c r="J57" s="21">
        <v>0</v>
      </c>
      <c r="K57" s="21">
        <v>0</v>
      </c>
      <c r="L57" s="22">
        <v>0</v>
      </c>
      <c r="M57" s="23">
        <v>0</v>
      </c>
      <c r="N57" s="24">
        <v>0</v>
      </c>
      <c r="O57" s="21">
        <v>0</v>
      </c>
      <c r="P57" s="21">
        <v>0</v>
      </c>
      <c r="Q57" s="21">
        <v>0</v>
      </c>
      <c r="R57" s="21">
        <v>0</v>
      </c>
      <c r="S57" s="21">
        <v>0</v>
      </c>
      <c r="T57" s="21">
        <v>0</v>
      </c>
      <c r="U57" s="21">
        <v>0</v>
      </c>
      <c r="V57" s="21">
        <v>0</v>
      </c>
      <c r="W57" s="21">
        <v>0</v>
      </c>
    </row>
    <row r="58" spans="1:23" x14ac:dyDescent="0.4">
      <c r="A58" s="14"/>
      <c r="B58" s="13">
        <v>1.0900000000000001</v>
      </c>
      <c r="C58" s="21">
        <v>0</v>
      </c>
      <c r="D58" s="21">
        <v>0</v>
      </c>
      <c r="E58" s="21">
        <v>0</v>
      </c>
      <c r="F58" s="21">
        <v>0</v>
      </c>
      <c r="G58" s="21">
        <v>0</v>
      </c>
      <c r="H58" s="21">
        <v>0</v>
      </c>
      <c r="I58" s="21">
        <v>0</v>
      </c>
      <c r="J58" s="21">
        <v>0</v>
      </c>
      <c r="K58" s="21">
        <v>0</v>
      </c>
      <c r="L58" s="22">
        <v>0</v>
      </c>
      <c r="M58" s="23">
        <v>0</v>
      </c>
      <c r="N58" s="24">
        <v>0</v>
      </c>
      <c r="O58" s="21">
        <v>0</v>
      </c>
      <c r="P58" s="21">
        <v>0</v>
      </c>
      <c r="Q58" s="21">
        <v>0</v>
      </c>
      <c r="R58" s="21">
        <v>0</v>
      </c>
      <c r="S58" s="21">
        <v>0</v>
      </c>
      <c r="T58" s="21">
        <v>0</v>
      </c>
      <c r="U58" s="21">
        <v>0</v>
      </c>
      <c r="V58" s="21">
        <v>0</v>
      </c>
      <c r="W58" s="21">
        <v>0</v>
      </c>
    </row>
    <row r="59" spans="1:23" x14ac:dyDescent="0.4">
      <c r="A59" s="14"/>
      <c r="B59" s="13">
        <v>1.1000000000000001</v>
      </c>
      <c r="C59" s="21">
        <v>0</v>
      </c>
      <c r="D59" s="21">
        <v>0</v>
      </c>
      <c r="E59" s="21">
        <v>0</v>
      </c>
      <c r="F59" s="21">
        <v>0</v>
      </c>
      <c r="G59" s="21">
        <v>0</v>
      </c>
      <c r="H59" s="21">
        <v>0</v>
      </c>
      <c r="I59" s="21">
        <v>0</v>
      </c>
      <c r="J59" s="21">
        <v>0</v>
      </c>
      <c r="K59" s="21">
        <v>0</v>
      </c>
      <c r="L59" s="22">
        <v>0</v>
      </c>
      <c r="M59" s="23">
        <v>0</v>
      </c>
      <c r="N59" s="24">
        <v>0</v>
      </c>
      <c r="O59" s="21">
        <v>0</v>
      </c>
      <c r="P59" s="21">
        <v>0</v>
      </c>
      <c r="Q59" s="21">
        <v>0</v>
      </c>
      <c r="R59" s="21">
        <v>0</v>
      </c>
      <c r="S59" s="21">
        <v>0</v>
      </c>
      <c r="T59" s="21">
        <v>0</v>
      </c>
      <c r="U59" s="21">
        <v>0</v>
      </c>
      <c r="V59" s="21">
        <v>0</v>
      </c>
      <c r="W59" s="21">
        <v>0</v>
      </c>
    </row>
    <row r="61" spans="1:23" x14ac:dyDescent="0.4">
      <c r="A61" t="str">
        <f>$B$36&amp;" wrt spot tweaks"</f>
        <v>pv wrt spot tweaks</v>
      </c>
      <c r="G61" t="str">
        <f>$B$36&amp;" wrt vol tweaks"</f>
        <v>pv wrt vol tweaks</v>
      </c>
    </row>
    <row r="80" spans="1:1" x14ac:dyDescent="0.4">
      <c r="A80" t="str">
        <f>$B$36&amp;" wrt spot and vol tweaks"</f>
        <v>pv wrt spot and vol tweaks</v>
      </c>
    </row>
  </sheetData>
  <mergeCells count="2">
    <mergeCell ref="A38:A59"/>
    <mergeCell ref="F20:G20"/>
  </mergeCells>
  <dataValidations count="3">
    <dataValidation type="list" allowBlank="1" showInputMessage="1" showErrorMessage="1" sqref="B36" xr:uid="{BA170022-21FC-4C6F-9574-4D6B7DCB4C6A}">
      <formula1>$J$21:$N$21</formula1>
    </dataValidation>
    <dataValidation type="list" allowBlank="1" showInputMessage="1" showErrorMessage="1" sqref="H20 B35" xr:uid="{200E8A31-0E5A-4AD2-A16F-CE073A141B6A}">
      <formula1>"TRUE,FALSE"</formula1>
    </dataValidation>
    <dataValidation type="list" allowBlank="1" showInputMessage="1" showErrorMessage="1" sqref="E22:E31" xr:uid="{C5EB813A-7E0E-490A-9F46-2CA8454EF069}">
      <formula1>"CALL,PUT,"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6A28DAB99C48B469009752D21F8474A" ma:contentTypeVersion="7" ma:contentTypeDescription="Create a new document." ma:contentTypeScope="" ma:versionID="50053ab013923823a23a9db62945a3ef">
  <xsd:schema xmlns:xsd="http://www.w3.org/2001/XMLSchema" xmlns:xs="http://www.w3.org/2001/XMLSchema" xmlns:p="http://schemas.microsoft.com/office/2006/metadata/properties" xmlns:ns3="a95c0ba0-d2e6-4b25-b7d5-a719ecc5544a" xmlns:ns4="03cbfcaa-e9f2-4603-927f-51e6fbd98e3f" targetNamespace="http://schemas.microsoft.com/office/2006/metadata/properties" ma:root="true" ma:fieldsID="e062389113fad8b1747e410c2d6b549e" ns3:_="" ns4:_="">
    <xsd:import namespace="a95c0ba0-d2e6-4b25-b7d5-a719ecc5544a"/>
    <xsd:import namespace="03cbfcaa-e9f2-4603-927f-51e6fbd98e3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5c0ba0-d2e6-4b25-b7d5-a719ecc5544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cbfcaa-e9f2-4603-927f-51e6fbd98e3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0DCBE33-1C7D-4193-B1DF-3363AD78CE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5c0ba0-d2e6-4b25-b7d5-a719ecc5544a"/>
    <ds:schemaRef ds:uri="03cbfcaa-e9f2-4603-927f-51e6fbd98e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1FC2202-7B90-4CCB-ABE8-3AEDE1399F0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2853C5-0FA3-4755-8E6B-BC78863D1C5C}">
  <ds:schemaRefs>
    <ds:schemaRef ds:uri="http://schemas.microsoft.com/office/2006/documentManagement/types"/>
    <ds:schemaRef ds:uri="a95c0ba0-d2e6-4b25-b7d5-a719ecc5544a"/>
    <ds:schemaRef ds:uri="http://purl.org/dc/elements/1.1/"/>
    <ds:schemaRef ds:uri="http://purl.org/dc/terms/"/>
    <ds:schemaRef ds:uri="http://schemas.microsoft.com/office/infopath/2007/PartnerControls"/>
    <ds:schemaRef ds:uri="http://www.w3.org/XML/1998/namespace"/>
    <ds:schemaRef ds:uri="http://purl.org/dc/dcmitype/"/>
    <ds:schemaRef ds:uri="http://schemas.openxmlformats.org/package/2006/metadata/core-properties"/>
    <ds:schemaRef ds:uri="03cbfcaa-e9f2-4603-927f-51e6fbd98e3f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Russel Webber</dc:creator>
  <cp:lastModifiedBy>Russel Webber</cp:lastModifiedBy>
  <dcterms:created xsi:type="dcterms:W3CDTF">2022-09-19T13:29:00Z</dcterms:created>
  <dcterms:modified xsi:type="dcterms:W3CDTF">2022-10-07T10:57:05Z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0x01010056A28DAB99C48B469009752D21F8474A</vt:lpwstr>
  </property>
</Properties>
</file>